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 here" sheetId="1" r:id="rId4"/>
    <sheet state="visible" name="Pipeline" sheetId="2" r:id="rId5"/>
  </sheets>
  <definedNames/>
  <calcPr/>
  <extLst>
    <ext uri="GoogleSheetsCustomDataVersion2">
      <go:sheetsCustomData xmlns:go="http://customooxmlschemas.google.com/" r:id="rId6" roundtripDataChecksum="bhy6oufcj5E7Giuy9zHvc4Bkj5Ga/gmrsil7j55H4Mc="/>
    </ext>
  </extLst>
</workbook>
</file>

<file path=xl/sharedStrings.xml><?xml version="1.0" encoding="utf-8"?>
<sst xmlns="http://schemas.openxmlformats.org/spreadsheetml/2006/main" count="83" uniqueCount="81">
  <si>
    <t>Sales Pipeline Tracker</t>
  </si>
  <si>
    <t>A free way to stop losing deals you already earned.</t>
  </si>
  <si>
    <t>Three steps</t>
  </si>
  <si>
    <t>1.   File, then Make a copy. This one is read-only on purpose.</t>
  </si>
  <si>
    <t>2.   Delete the seven example rows on the Pipeline tab. They are invented, and the numbers are 555 so a stray tap cannot reach anybody real.</t>
  </si>
  <si>
    <t>3.   Add a row per deal. Only Name and Stage are needed. The rest can wait.</t>
  </si>
  <si>
    <t>What it does without being asked</t>
  </si>
  <si>
    <t>A row turns pink when its next step is due today or is already late.</t>
  </si>
  <si>
    <t>A row turns green when you mark it Won, and grey when you mark it Lost.</t>
  </si>
  <si>
    <t>The three numbers up top count themselves as you type.</t>
  </si>
  <si>
    <t>Stage is a dropdown, so nobody invents a seventh stage by typo.</t>
  </si>
  <si>
    <t>The column most trackers leave out</t>
  </si>
  <si>
    <t>Next step and Due. Everything else here records what already happened. Those two tell you what to do on Monday, which is the only part that wins anything.</t>
  </si>
  <si>
    <t>The National Association of Home Builders reckons contractors lose 40 to 60 percent of bids purely because nobody followed up. Not the price. The second call.</t>
  </si>
  <si>
    <t>When this sheet stops working</t>
  </si>
  <si>
    <t>It might not. Plenty of people run a whole book of business from one spreadsheet. If that is you, take it and go, with our blessing.</t>
  </si>
  <si>
    <t>You cannot really use it on a phone, which is where you are when a call ends.</t>
  </si>
  <si>
    <t>It cannot tap you on the shoulder. A pink row only helps if you open the file.</t>
  </si>
  <si>
    <t>It breaks the moment a second person needs to work from it too.</t>
  </si>
  <si>
    <t>Those three are not spreadsheet problems, and a better template will not fix them. That is where Chumley comes in. $14 a month, 14 days free, no card.</t>
  </si>
  <si>
    <t>chumley.app</t>
  </si>
  <si>
    <t>Know who to call today.  Free from Chumley  ·  chumley.app</t>
  </si>
  <si>
    <t>DEALS WORKING</t>
  </si>
  <si>
    <t>MONEY WON</t>
  </si>
  <si>
    <t>FOLLOW-UPS DUE OR LATE</t>
  </si>
  <si>
    <t>Name</t>
  </si>
  <si>
    <t>Company</t>
  </si>
  <si>
    <t>Phone</t>
  </si>
  <si>
    <t>Email</t>
  </si>
  <si>
    <t>Value</t>
  </si>
  <si>
    <t>Stage</t>
  </si>
  <si>
    <t>Next step</t>
  </si>
  <si>
    <t>Due</t>
  </si>
  <si>
    <t>Notes</t>
  </si>
  <si>
    <t>Rosa Nunez</t>
  </si>
  <si>
    <t>Copper Ridge Builders</t>
  </si>
  <si>
    <t>(555) 014-2201</t>
  </si>
  <si>
    <t>rosa@example.com</t>
  </si>
  <si>
    <t>Proposal Sent</t>
  </si>
  <si>
    <t>Send the quote she asked for</t>
  </si>
  <si>
    <t>Wants it before Friday</t>
  </si>
  <si>
    <t>Dale Whitaker</t>
  </si>
  <si>
    <t>Whitaker Mechanical</t>
  </si>
  <si>
    <t>(555) 014-2200</t>
  </si>
  <si>
    <t>dale@example.com</t>
  </si>
  <si>
    <t>Contacted</t>
  </si>
  <si>
    <t>Call to introduce yourself</t>
  </si>
  <si>
    <t>Met at the supply house</t>
  </si>
  <si>
    <t>Marcus Hall</t>
  </si>
  <si>
    <t>Hall &amp; Sons Plumbing</t>
  </si>
  <si>
    <t>(555) 014-2202</t>
  </si>
  <si>
    <t>marcus@example.com</t>
  </si>
  <si>
    <t>Appointment Set</t>
  </si>
  <si>
    <t>Follow up, he has gone quiet</t>
  </si>
  <si>
    <t>Third attempt</t>
  </si>
  <si>
    <t>Ana Reyes</t>
  </si>
  <si>
    <t>Reyes Electric</t>
  </si>
  <si>
    <t>(555) 014-2204</t>
  </si>
  <si>
    <t>ana@example.com</t>
  </si>
  <si>
    <t>New Lead</t>
  </si>
  <si>
    <t>Find out who signs off</t>
  </si>
  <si>
    <t>Came in from the website form</t>
  </si>
  <si>
    <t>Curtis Boyd</t>
  </si>
  <si>
    <t>Boyd Excavation</t>
  </si>
  <si>
    <t>(555) 014-2205</t>
  </si>
  <si>
    <t>curtis@example.com</t>
  </si>
  <si>
    <t>Chase it, five days out</t>
  </si>
  <si>
    <t>Second follow-up</t>
  </si>
  <si>
    <t>Trudy Vance</t>
  </si>
  <si>
    <t>Vance Roofing</t>
  </si>
  <si>
    <t>(555) 014-2203</t>
  </si>
  <si>
    <t>trudy@example.com</t>
  </si>
  <si>
    <t>Won</t>
  </si>
  <si>
    <t>Send the start date</t>
  </si>
  <si>
    <t>Wendell Pryor</t>
  </si>
  <si>
    <t>Pryor Site Services</t>
  </si>
  <si>
    <t>(555) 014-2206</t>
  </si>
  <si>
    <t>wendell@example.com</t>
  </si>
  <si>
    <t>Lost</t>
  </si>
  <si>
    <t>Ask what they went with</t>
  </si>
  <si>
    <t>Went with the cheaper bid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</si>
</sst>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ddd, mmm d"/>
  </numFmts>
  <fonts count="15">
    <font>
      <sz val="11.0"/>
      <color theme="1"/>
      <name val="Calibri"/>
      <scheme val="minor"/>
    </font>
    <font>
      <sz val="11.0"/>
      <color theme="1"/>
      <name val="Calibri"/>
    </font>
    <font>
      <b/>
      <sz val="17.0"/>
      <color rgb="FFFFFFFF"/>
      <name val="Calibri"/>
      <scheme val="minor"/>
    </font>
    <font/>
    <font>
      <sz val="10.0"/>
      <color rgb="FFB9C6D4"/>
      <name val="Calibri"/>
      <scheme val="minor"/>
    </font>
    <font>
      <b/>
      <sz val="14.0"/>
      <color rgb="FFF16522"/>
      <name val="Calibri"/>
      <scheme val="minor"/>
    </font>
    <font>
      <sz val="14.0"/>
      <color rgb="FF55504F"/>
      <name val="Calibri"/>
      <scheme val="minor"/>
    </font>
    <font>
      <sz val="14.0"/>
      <color theme="1"/>
      <name val="Calibri"/>
      <scheme val="minor"/>
    </font>
    <font>
      <b/>
      <u/>
      <sz val="14.0"/>
      <color rgb="FFF16522"/>
    </font>
    <font>
      <b/>
      <sz val="8.0"/>
      <color rgb="FF7D7776"/>
      <name val="Calibri"/>
      <scheme val="minor"/>
    </font>
    <font>
      <b/>
      <sz val="22.0"/>
      <color rgb="FFF16522"/>
      <name val="Calibri"/>
      <scheme val="minor"/>
    </font>
    <font>
      <b/>
      <sz val="10.0"/>
      <color rgb="FFFFFFFF"/>
      <name val="Calibri"/>
      <scheme val="minor"/>
    </font>
    <font>
      <sz val="12.0"/>
      <color rgb="FF231F20"/>
      <name val="Calibri"/>
      <scheme val="minor"/>
    </font>
    <font>
      <sz val="12.0"/>
      <color theme="1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6293D"/>
        <bgColor rgb="FF16293D"/>
      </patternFill>
    </fill>
    <fill>
      <patternFill patternType="solid">
        <fgColor rgb="FFFEF2EC"/>
        <bgColor rgb="FFFEF2EC"/>
      </patternFill>
    </fill>
    <fill>
      <patternFill patternType="solid">
        <fgColor rgb="FFF16522"/>
        <bgColor rgb="FFF16522"/>
      </patternFill>
    </fill>
  </fills>
  <borders count="6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E7E2E0"/>
      </left>
      <right style="thin">
        <color rgb="FFE7E2E0"/>
      </right>
      <top style="thin">
        <color rgb="FFE7E2E0"/>
      </top>
      <bottom style="thin">
        <color rgb="FFE7E2E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ill="1" applyFont="1">
      <alignment vertical="center"/>
    </xf>
    <xf borderId="3" fillId="0" fontId="3" numFmtId="0" xfId="0" applyBorder="1" applyFont="1"/>
    <xf borderId="4" fillId="0" fontId="3" numFmtId="0" xfId="0" applyBorder="1" applyFont="1"/>
    <xf borderId="2" fillId="2" fontId="4" numFmtId="0" xfId="0" applyAlignment="1" applyBorder="1" applyFill="1" applyFont="1">
      <alignment vertical="center"/>
    </xf>
    <xf borderId="0" fillId="0" fontId="5" numFmtId="0" xfId="0" applyFont="1"/>
    <xf borderId="0" fillId="0" fontId="6" numFmtId="0" xfId="0" applyAlignment="1" applyFont="1">
      <alignment shrinkToFit="0" vertical="top" wrapText="1"/>
    </xf>
    <xf borderId="0" fillId="0" fontId="7" numFmtId="0" xfId="0" applyFont="1"/>
    <xf borderId="0" fillId="0" fontId="8" numFmtId="0" xfId="0" applyFont="1"/>
    <xf borderId="2" fillId="3" fontId="9" numFmtId="0" xfId="0" applyAlignment="1" applyBorder="1" applyFill="1" applyFont="1">
      <alignment vertical="center"/>
    </xf>
    <xf borderId="2" fillId="3" fontId="10" numFmtId="0" xfId="0" applyAlignment="1" applyBorder="1" applyFill="1" applyFont="1">
      <alignment vertical="center"/>
    </xf>
    <xf borderId="2" fillId="3" fontId="10" numFmtId="164" xfId="0" applyAlignment="1" applyBorder="1" applyFill="1" applyFont="1" applyNumberFormat="1">
      <alignment vertical="center"/>
    </xf>
    <xf borderId="5" fillId="4" fontId="11" numFmtId="0" xfId="0" applyAlignment="1" applyBorder="1" applyFill="1" applyFont="1">
      <alignment vertical="center"/>
    </xf>
    <xf borderId="5" fillId="0" fontId="12" numFmtId="0" xfId="0" applyAlignment="1" applyBorder="1" applyFont="1">
      <alignment vertical="center"/>
    </xf>
    <xf borderId="5" fillId="0" fontId="12" numFmtId="164" xfId="0" applyAlignment="1" applyBorder="1" applyFont="1" applyNumberFormat="1">
      <alignment vertical="center"/>
    </xf>
    <xf borderId="5" fillId="0" fontId="12" numFmtId="165" xfId="0" applyAlignment="1" applyBorder="1" applyFont="1" applyNumberFormat="1">
      <alignment vertical="center"/>
    </xf>
    <xf borderId="0" fillId="0" fontId="13" numFmtId="0" xfId="0" applyFont="1"/>
    <xf borderId="5" fillId="0" fontId="1" numFmtId="0" xfId="0" applyBorder="1" applyFont="1"/>
    <xf borderId="5" fillId="0" fontId="1" numFmtId="164" xfId="0" applyBorder="1" applyFont="1" applyNumberFormat="1"/>
    <xf borderId="5" fillId="0" fontId="1" numFmtId="165" xfId="0" applyBorder="1" applyFont="1" applyNumberFormat="1"/>
    <xf borderId="0" fillId="0" fontId="14" numFmtId="0" xfId="0" applyFont="1"/>
  </cellXfs>
  <cellStyles count="1">
    <cellStyle xfId="0" name="Normal" builtinId="0"/>
  </cellStyles>
  <dxfs count="3">
    <dxf>
      <font/>
      <fill>
        <patternFill patternType="solid">
          <fgColor rgb="FFF9E2E2"/>
          <bgColor rgb="FFF9E2E2"/>
        </patternFill>
      </fill>
      <border/>
    </dxf>
    <dxf>
      <font/>
      <fill>
        <patternFill patternType="solid">
          <fgColor rgb="FFDCF1E3"/>
          <bgColor rgb="FFDCF1E3"/>
        </patternFill>
      </fill>
      <border/>
    </dxf>
    <dxf>
      <font/>
      <fill>
        <patternFill patternType="solid">
          <fgColor rgb="FFF3F1EF"/>
          <bgColor rgb="FFF3F1E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1</xdr:row>
      <xdr:rowOff>66675</xdr:rowOff>
    </xdr:from>
    <xdr:ext cx="1866900" cy="438150"/>
    <xdr:pic>
      <xdr:nvPicPr>
        <xdr:cNvPr descr="Picture"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866900" cy="43815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humley.app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00.0"/>
    <col customWidth="1" min="3" max="4" width="8.71"/>
    <col customWidth="1" min="5" max="5" width="25.29"/>
    <col customWidth="1" min="6" max="26" width="8.71"/>
  </cols>
  <sheetData>
    <row r="1" ht="9.75" customHeight="1">
      <c r="A1" s="1"/>
      <c r="B1" s="1"/>
      <c r="C1" s="1"/>
      <c r="D1" s="1"/>
      <c r="E1" s="1"/>
    </row>
    <row r="2" ht="21.75" customHeight="1">
      <c r="A2" s="1"/>
      <c r="B2" s="1"/>
      <c r="C2" s="1"/>
      <c r="D2" s="1"/>
      <c r="E2" s="1"/>
    </row>
    <row r="3" ht="19.5" customHeight="1">
      <c r="A3" s="1"/>
      <c r="B3" s="1"/>
      <c r="C3" s="2" t="s">
        <v>0</v>
      </c>
      <c r="D3" s="3"/>
      <c r="E3" s="4"/>
    </row>
    <row r="4" ht="18.0" customHeight="1">
      <c r="A4" s="1"/>
      <c r="B4" s="1"/>
      <c r="C4" s="5" t="s">
        <v>1</v>
      </c>
      <c r="D4" s="3"/>
      <c r="E4" s="4"/>
    </row>
    <row r="5" ht="7.5" customHeight="1">
      <c r="A5" s="1"/>
      <c r="B5" s="1"/>
      <c r="C5" s="1"/>
      <c r="D5" s="1"/>
      <c r="E5" s="1"/>
    </row>
    <row r="7" ht="9.75" customHeight="1"/>
    <row r="8" ht="25.5" customHeight="1">
      <c r="B8" s="6" t="s">
        <v>2</v>
      </c>
    </row>
    <row r="9" ht="30.0" customHeight="1">
      <c r="B9" s="7" t="s">
        <v>3</v>
      </c>
    </row>
    <row r="10" ht="30.0" customHeight="1">
      <c r="B10" s="7" t="s">
        <v>4</v>
      </c>
    </row>
    <row r="11" ht="30.0" customHeight="1">
      <c r="B11" s="7" t="s">
        <v>5</v>
      </c>
    </row>
    <row r="12" ht="9.75" customHeight="1">
      <c r="B12" s="8"/>
    </row>
    <row r="13" ht="25.5" customHeight="1">
      <c r="B13" s="6" t="s">
        <v>6</v>
      </c>
    </row>
    <row r="14" ht="30.0" customHeight="1">
      <c r="B14" s="7" t="s">
        <v>7</v>
      </c>
    </row>
    <row r="15" ht="30.0" customHeight="1">
      <c r="B15" s="7" t="s">
        <v>8</v>
      </c>
    </row>
    <row r="16" ht="30.0" customHeight="1">
      <c r="B16" s="7" t="s">
        <v>9</v>
      </c>
    </row>
    <row r="17" ht="30.0" customHeight="1">
      <c r="B17" s="7" t="s">
        <v>10</v>
      </c>
    </row>
    <row r="18" ht="9.75" customHeight="1">
      <c r="B18" s="8"/>
    </row>
    <row r="19" ht="25.5" customHeight="1">
      <c r="B19" s="6" t="s">
        <v>11</v>
      </c>
    </row>
    <row r="20" ht="33.75" customHeight="1">
      <c r="B20" s="7" t="s">
        <v>12</v>
      </c>
    </row>
    <row r="21" ht="33.75" customHeight="1">
      <c r="B21" s="7" t="s">
        <v>13</v>
      </c>
    </row>
    <row r="22" ht="9.75" customHeight="1">
      <c r="B22" s="8"/>
    </row>
    <row r="23" ht="25.5" customHeight="1">
      <c r="B23" s="6" t="s">
        <v>14</v>
      </c>
    </row>
    <row r="24" ht="33.75" customHeight="1">
      <c r="B24" s="7" t="s">
        <v>15</v>
      </c>
    </row>
    <row r="25" ht="30.0" customHeight="1">
      <c r="B25" s="7" t="s">
        <v>16</v>
      </c>
    </row>
    <row r="26" ht="30.0" customHeight="1">
      <c r="B26" s="7" t="s">
        <v>17</v>
      </c>
    </row>
    <row r="27" ht="30.0" customHeight="1">
      <c r="B27" s="7" t="s">
        <v>18</v>
      </c>
    </row>
    <row r="28" ht="9.75" customHeight="1">
      <c r="B28" s="8"/>
    </row>
    <row r="29" ht="33.75" customHeight="1">
      <c r="B29" s="7" t="s">
        <v>19</v>
      </c>
    </row>
    <row r="30" ht="27.75" customHeight="1">
      <c r="B30" s="9" t="s">
        <v>20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3:E3"/>
    <mergeCell ref="C4:E4"/>
  </mergeCells>
  <hyperlinks>
    <hyperlink r:id="rId1" ref="B30"/>
  </hyperlinks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19.0"/>
    <col customWidth="1" min="2" max="2" width="24.0"/>
    <col customWidth="1" min="3" max="3" width="17.0"/>
    <col customWidth="1" min="4" max="4" width="26.0"/>
    <col customWidth="1" min="5" max="5" width="12.0"/>
    <col customWidth="1" min="6" max="6" width="17.0"/>
    <col customWidth="1" min="7" max="7" width="32.0"/>
    <col customWidth="1" min="8" max="8" width="15.0"/>
    <col customWidth="1" min="9" max="9" width="28.0"/>
    <col customWidth="1" min="10" max="26" width="8.71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</row>
    <row r="2" ht="21.75" customHeight="1">
      <c r="A2" s="1"/>
      <c r="B2" s="1"/>
      <c r="C2" s="1"/>
      <c r="D2" s="1"/>
      <c r="E2" s="1"/>
      <c r="F2" s="1"/>
      <c r="G2" s="1"/>
      <c r="H2" s="1"/>
      <c r="I2" s="1"/>
    </row>
    <row r="3" ht="19.5" customHeight="1">
      <c r="A3" s="1"/>
      <c r="B3" s="1"/>
      <c r="C3" s="2" t="s">
        <v>0</v>
      </c>
      <c r="D3" s="3"/>
      <c r="E3" s="3"/>
      <c r="F3" s="3"/>
      <c r="G3" s="3"/>
      <c r="H3" s="3"/>
      <c r="I3" s="4"/>
    </row>
    <row r="4" ht="18.0" customHeight="1">
      <c r="A4" s="1"/>
      <c r="B4" s="1"/>
      <c r="C4" s="5" t="s">
        <v>21</v>
      </c>
      <c r="D4" s="3"/>
      <c r="E4" s="3"/>
      <c r="F4" s="3"/>
      <c r="G4" s="3"/>
      <c r="H4" s="3"/>
      <c r="I4" s="4"/>
    </row>
    <row r="5" ht="7.5" customHeight="1">
      <c r="A5" s="1"/>
      <c r="B5" s="1"/>
      <c r="C5" s="1"/>
      <c r="D5" s="1"/>
      <c r="E5" s="1"/>
      <c r="F5" s="1"/>
      <c r="G5" s="1"/>
      <c r="H5" s="1"/>
      <c r="I5" s="1"/>
    </row>
    <row r="6" ht="7.5" customHeight="1"/>
    <row r="7" ht="15.75" customHeight="1">
      <c r="A7" s="10" t="s">
        <v>22</v>
      </c>
      <c r="B7" s="4"/>
      <c r="C7" s="10" t="s">
        <v>23</v>
      </c>
      <c r="D7" s="4"/>
      <c r="E7" s="10" t="s">
        <v>24</v>
      </c>
      <c r="F7" s="3"/>
      <c r="G7" s="4"/>
    </row>
    <row r="8" ht="33.75" customHeight="1">
      <c r="A8" s="11">
        <f>COUNTIFS(F11:F1000,"&lt;&gt;Won",F11:F1000,"&lt;&gt;Lost",A11:A1000,"&lt;&gt;")</f>
        <v>5</v>
      </c>
      <c r="B8" s="4"/>
      <c r="C8" s="12">
        <f>SUMIF(F11:F1000,"Won",E11:E1000)</f>
        <v>12400</v>
      </c>
      <c r="D8" s="4"/>
      <c r="E8" s="11">
        <f>COUNTIFS(H11:H1000,"&lt;="&amp;TODAY(),H11:H1000,"&lt;&gt;",F11:F1000,"&lt;&gt;Won",F11:F1000,"&lt;&gt;Lost")</f>
        <v>3</v>
      </c>
      <c r="F8" s="3"/>
      <c r="G8" s="4"/>
    </row>
    <row r="9" ht="9.75" customHeight="1"/>
    <row r="10" ht="24.0" customHeight="1">
      <c r="A10" s="13" t="s">
        <v>25</v>
      </c>
      <c r="B10" s="13" t="s">
        <v>26</v>
      </c>
      <c r="C10" s="13" t="s">
        <v>27</v>
      </c>
      <c r="D10" s="13" t="s">
        <v>28</v>
      </c>
      <c r="E10" s="13" t="s">
        <v>29</v>
      </c>
      <c r="F10" s="13" t="s">
        <v>30</v>
      </c>
      <c r="G10" s="13" t="s">
        <v>31</v>
      </c>
      <c r="H10" s="13" t="s">
        <v>32</v>
      </c>
      <c r="I10" s="13" t="s">
        <v>33</v>
      </c>
    </row>
    <row r="11" ht="21.75" customHeight="1">
      <c r="A11" s="14" t="s">
        <v>34</v>
      </c>
      <c r="B11" s="14" t="s">
        <v>35</v>
      </c>
      <c r="C11" s="14" t="s">
        <v>36</v>
      </c>
      <c r="D11" s="14" t="s">
        <v>37</v>
      </c>
      <c r="E11" s="15">
        <v>21000.0</v>
      </c>
      <c r="F11" s="14" t="s">
        <v>38</v>
      </c>
      <c r="G11" s="14" t="s">
        <v>39</v>
      </c>
      <c r="H11" s="16">
        <f>TODAY()-2</f>
        <v>46261</v>
      </c>
      <c r="I11" s="14" t="s">
        <v>40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21.75" customHeight="1">
      <c r="A12" s="14" t="s">
        <v>41</v>
      </c>
      <c r="B12" s="14" t="s">
        <v>42</v>
      </c>
      <c r="C12" s="14" t="s">
        <v>43</v>
      </c>
      <c r="D12" s="14" t="s">
        <v>44</v>
      </c>
      <c r="E12" s="15">
        <v>8500.0</v>
      </c>
      <c r="F12" s="14" t="s">
        <v>45</v>
      </c>
      <c r="G12" s="14" t="s">
        <v>46</v>
      </c>
      <c r="H12" s="16">
        <f>TODAY()</f>
        <v>46263</v>
      </c>
      <c r="I12" s="14" t="s">
        <v>47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21.75" customHeight="1">
      <c r="A13" s="14" t="s">
        <v>48</v>
      </c>
      <c r="B13" s="14" t="s">
        <v>49</v>
      </c>
      <c r="C13" s="14" t="s">
        <v>50</v>
      </c>
      <c r="D13" s="14" t="s">
        <v>51</v>
      </c>
      <c r="E13" s="15">
        <v>34000.0</v>
      </c>
      <c r="F13" s="14" t="s">
        <v>52</v>
      </c>
      <c r="G13" s="14" t="s">
        <v>53</v>
      </c>
      <c r="H13" s="16">
        <f>TODAY()+4</f>
        <v>46267</v>
      </c>
      <c r="I13" s="14" t="s">
        <v>54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21.75" customHeight="1">
      <c r="A14" s="14" t="s">
        <v>55</v>
      </c>
      <c r="B14" s="14" t="s">
        <v>56</v>
      </c>
      <c r="C14" s="14" t="s">
        <v>57</v>
      </c>
      <c r="D14" s="14" t="s">
        <v>58</v>
      </c>
      <c r="E14" s="15">
        <v>6200.0</v>
      </c>
      <c r="F14" s="14" t="s">
        <v>59</v>
      </c>
      <c r="G14" s="14" t="s">
        <v>60</v>
      </c>
      <c r="H14" s="16">
        <f>TODAY()+1</f>
        <v>46264</v>
      </c>
      <c r="I14" s="14" t="s">
        <v>61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21.75" customHeight="1">
      <c r="A15" s="14" t="s">
        <v>62</v>
      </c>
      <c r="B15" s="14" t="s">
        <v>63</v>
      </c>
      <c r="C15" s="14" t="s">
        <v>64</v>
      </c>
      <c r="D15" s="14" t="s">
        <v>65</v>
      </c>
      <c r="E15" s="15">
        <v>18750.0</v>
      </c>
      <c r="F15" s="14" t="s">
        <v>38</v>
      </c>
      <c r="G15" s="14" t="s">
        <v>66</v>
      </c>
      <c r="H15" s="16">
        <f>TODAY()-5</f>
        <v>46258</v>
      </c>
      <c r="I15" s="14" t="s">
        <v>67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21.75" customHeight="1">
      <c r="A16" s="14" t="s">
        <v>68</v>
      </c>
      <c r="B16" s="14" t="s">
        <v>69</v>
      </c>
      <c r="C16" s="14" t="s">
        <v>70</v>
      </c>
      <c r="D16" s="14" t="s">
        <v>71</v>
      </c>
      <c r="E16" s="15">
        <v>12400.0</v>
      </c>
      <c r="F16" s="14" t="s">
        <v>72</v>
      </c>
      <c r="G16" s="14" t="s">
        <v>73</v>
      </c>
      <c r="H16" s="16">
        <f>TODAY()+6</f>
        <v>46269</v>
      </c>
      <c r="I16" s="14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21.75" customHeight="1">
      <c r="A17" s="14" t="s">
        <v>74</v>
      </c>
      <c r="B17" s="14" t="s">
        <v>75</v>
      </c>
      <c r="C17" s="14" t="s">
        <v>76</v>
      </c>
      <c r="D17" s="14" t="s">
        <v>77</v>
      </c>
      <c r="E17" s="15">
        <v>9000.0</v>
      </c>
      <c r="F17" s="14" t="s">
        <v>78</v>
      </c>
      <c r="G17" s="14" t="s">
        <v>79</v>
      </c>
      <c r="H17" s="16">
        <f>TODAY()+30</f>
        <v>46293</v>
      </c>
      <c r="I17" s="14" t="s">
        <v>80</v>
      </c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9.5" customHeight="1">
      <c r="A18" s="18"/>
      <c r="B18" s="18"/>
      <c r="C18" s="18"/>
      <c r="D18" s="18"/>
      <c r="E18" s="19"/>
      <c r="F18" s="18"/>
      <c r="G18" s="18"/>
      <c r="H18" s="20"/>
      <c r="I18" s="18"/>
    </row>
    <row r="19" ht="19.5" customHeight="1">
      <c r="A19" s="18"/>
      <c r="B19" s="18"/>
      <c r="C19" s="18"/>
      <c r="D19" s="18"/>
      <c r="E19" s="19"/>
      <c r="F19" s="18"/>
      <c r="G19" s="18"/>
      <c r="H19" s="20"/>
      <c r="I19" s="18"/>
    </row>
    <row r="20" ht="19.5" customHeight="1">
      <c r="A20" s="18"/>
      <c r="B20" s="18"/>
      <c r="C20" s="18"/>
      <c r="D20" s="18"/>
      <c r="E20" s="19"/>
      <c r="F20" s="18"/>
      <c r="G20" s="18"/>
      <c r="H20" s="20"/>
      <c r="I20" s="18"/>
    </row>
    <row r="21" ht="19.5" customHeight="1">
      <c r="A21" s="18"/>
      <c r="B21" s="18"/>
      <c r="C21" s="18"/>
      <c r="D21" s="18"/>
      <c r="E21" s="19"/>
      <c r="F21" s="18"/>
      <c r="G21" s="18"/>
      <c r="H21" s="20"/>
      <c r="I21" s="18"/>
    </row>
    <row r="22" ht="19.5" customHeight="1">
      <c r="A22" s="18"/>
      <c r="B22" s="18"/>
      <c r="C22" s="18"/>
      <c r="D22" s="18"/>
      <c r="E22" s="19"/>
      <c r="F22" s="18"/>
      <c r="G22" s="18"/>
      <c r="H22" s="20"/>
      <c r="I22" s="18"/>
    </row>
    <row r="23" ht="19.5" customHeight="1">
      <c r="A23" s="18"/>
      <c r="B23" s="18"/>
      <c r="C23" s="18"/>
      <c r="D23" s="18"/>
      <c r="E23" s="19"/>
      <c r="F23" s="18"/>
      <c r="G23" s="18"/>
      <c r="H23" s="20"/>
      <c r="I23" s="18"/>
    </row>
    <row r="24" ht="19.5" customHeight="1">
      <c r="A24" s="18"/>
      <c r="B24" s="18"/>
      <c r="C24" s="18"/>
      <c r="D24" s="18"/>
      <c r="E24" s="19"/>
      <c r="F24" s="18"/>
      <c r="G24" s="18"/>
      <c r="H24" s="20"/>
      <c r="I24" s="18"/>
    </row>
    <row r="25" ht="19.5" customHeight="1">
      <c r="A25" s="18"/>
      <c r="B25" s="18"/>
      <c r="C25" s="18"/>
      <c r="D25" s="18"/>
      <c r="E25" s="19"/>
      <c r="F25" s="18"/>
      <c r="G25" s="18"/>
      <c r="H25" s="20"/>
      <c r="I25" s="18"/>
    </row>
    <row r="26" ht="19.5" customHeight="1">
      <c r="A26" s="18"/>
      <c r="B26" s="18"/>
      <c r="C26" s="18"/>
      <c r="D26" s="18"/>
      <c r="E26" s="19"/>
      <c r="F26" s="18"/>
      <c r="G26" s="18"/>
      <c r="H26" s="20"/>
      <c r="I26" s="18"/>
    </row>
    <row r="27" ht="19.5" customHeight="1">
      <c r="A27" s="18"/>
      <c r="B27" s="18"/>
      <c r="C27" s="18"/>
      <c r="D27" s="18"/>
      <c r="E27" s="19"/>
      <c r="F27" s="18"/>
      <c r="G27" s="18"/>
      <c r="H27" s="20"/>
      <c r="I27" s="18"/>
    </row>
    <row r="28" ht="19.5" customHeight="1">
      <c r="A28" s="18"/>
      <c r="B28" s="18"/>
      <c r="C28" s="18"/>
      <c r="D28" s="18"/>
      <c r="E28" s="19"/>
      <c r="F28" s="18"/>
      <c r="G28" s="18"/>
      <c r="H28" s="20"/>
      <c r="I28" s="18"/>
    </row>
    <row r="29" ht="19.5" customHeight="1">
      <c r="A29" s="18"/>
      <c r="B29" s="18"/>
      <c r="C29" s="18"/>
      <c r="D29" s="18"/>
      <c r="E29" s="19"/>
      <c r="F29" s="18"/>
      <c r="G29" s="18"/>
      <c r="H29" s="20"/>
      <c r="I29" s="18"/>
    </row>
    <row r="30" ht="19.5" customHeight="1">
      <c r="A30" s="18"/>
      <c r="B30" s="18"/>
      <c r="C30" s="18"/>
      <c r="D30" s="18"/>
      <c r="E30" s="19"/>
      <c r="F30" s="18"/>
      <c r="G30" s="18"/>
      <c r="H30" s="20"/>
      <c r="I30" s="18"/>
    </row>
    <row r="31" ht="19.5" customHeight="1">
      <c r="A31" s="18"/>
      <c r="B31" s="18"/>
      <c r="C31" s="18"/>
      <c r="D31" s="18"/>
      <c r="E31" s="19"/>
      <c r="F31" s="18"/>
      <c r="G31" s="18"/>
      <c r="H31" s="20"/>
      <c r="I31" s="18"/>
    </row>
    <row r="32" ht="19.5" customHeight="1">
      <c r="A32" s="18"/>
      <c r="B32" s="18"/>
      <c r="C32" s="18"/>
      <c r="D32" s="18"/>
      <c r="E32" s="19"/>
      <c r="F32" s="18"/>
      <c r="G32" s="18"/>
      <c r="H32" s="20"/>
      <c r="I32" s="18"/>
    </row>
    <row r="33" ht="19.5" customHeight="1">
      <c r="A33" s="18"/>
      <c r="B33" s="18"/>
      <c r="C33" s="18"/>
      <c r="D33" s="18"/>
      <c r="E33" s="19"/>
      <c r="F33" s="18"/>
      <c r="G33" s="18"/>
      <c r="H33" s="20"/>
      <c r="I33" s="18"/>
    </row>
    <row r="34" ht="19.5" customHeight="1">
      <c r="A34" s="18"/>
      <c r="B34" s="18"/>
      <c r="C34" s="18"/>
      <c r="D34" s="18"/>
      <c r="E34" s="19"/>
      <c r="F34" s="18"/>
      <c r="G34" s="18"/>
      <c r="H34" s="20"/>
      <c r="I34" s="18"/>
    </row>
    <row r="35" ht="19.5" customHeight="1">
      <c r="A35" s="18"/>
      <c r="B35" s="18"/>
      <c r="C35" s="18"/>
      <c r="D35" s="18"/>
      <c r="E35" s="19"/>
      <c r="F35" s="18"/>
      <c r="G35" s="18"/>
      <c r="H35" s="20"/>
      <c r="I35" s="18"/>
    </row>
    <row r="36" ht="19.5" customHeight="1">
      <c r="A36" s="18"/>
      <c r="B36" s="18"/>
      <c r="C36" s="18"/>
      <c r="D36" s="18"/>
      <c r="E36" s="19"/>
      <c r="F36" s="18"/>
      <c r="G36" s="18"/>
      <c r="H36" s="20"/>
      <c r="I36" s="18"/>
    </row>
    <row r="37" ht="19.5" customHeight="1">
      <c r="A37" s="18"/>
      <c r="B37" s="18"/>
      <c r="C37" s="18"/>
      <c r="D37" s="18"/>
      <c r="E37" s="19"/>
      <c r="F37" s="18"/>
      <c r="G37" s="18"/>
      <c r="H37" s="20"/>
      <c r="I37" s="18"/>
    </row>
    <row r="38" ht="19.5" customHeight="1">
      <c r="A38" s="18"/>
      <c r="B38" s="18"/>
      <c r="C38" s="18"/>
      <c r="D38" s="18"/>
      <c r="E38" s="19"/>
      <c r="F38" s="18"/>
      <c r="G38" s="18"/>
      <c r="H38" s="20"/>
      <c r="I38" s="18"/>
    </row>
    <row r="39" ht="19.5" customHeight="1">
      <c r="A39" s="18"/>
      <c r="B39" s="18"/>
      <c r="C39" s="18"/>
      <c r="D39" s="18"/>
      <c r="E39" s="19"/>
      <c r="F39" s="18"/>
      <c r="G39" s="18"/>
      <c r="H39" s="20"/>
      <c r="I39" s="18"/>
    </row>
    <row r="40" ht="19.5" customHeight="1">
      <c r="A40" s="18"/>
      <c r="B40" s="18"/>
      <c r="C40" s="18"/>
      <c r="D40" s="18"/>
      <c r="E40" s="19"/>
      <c r="F40" s="18"/>
      <c r="G40" s="18"/>
      <c r="H40" s="20"/>
      <c r="I40" s="18"/>
    </row>
    <row r="41" ht="19.5" customHeight="1">
      <c r="A41" s="18"/>
      <c r="B41" s="18"/>
      <c r="C41" s="18"/>
      <c r="D41" s="18"/>
      <c r="E41" s="19"/>
      <c r="F41" s="18"/>
      <c r="G41" s="18"/>
      <c r="H41" s="20"/>
      <c r="I41" s="18"/>
    </row>
    <row r="42" ht="19.5" customHeight="1">
      <c r="A42" s="18"/>
      <c r="B42" s="18"/>
      <c r="C42" s="18"/>
      <c r="D42" s="18"/>
      <c r="E42" s="19"/>
      <c r="F42" s="18"/>
      <c r="G42" s="18"/>
      <c r="H42" s="20"/>
      <c r="I42" s="18"/>
    </row>
    <row r="43" ht="19.5" customHeight="1">
      <c r="A43" s="18"/>
      <c r="B43" s="18"/>
      <c r="C43" s="18"/>
      <c r="D43" s="18"/>
      <c r="E43" s="19"/>
      <c r="F43" s="18"/>
      <c r="G43" s="18"/>
      <c r="H43" s="20"/>
      <c r="I43" s="18"/>
    </row>
    <row r="44" ht="19.5" customHeight="1">
      <c r="A44" s="18"/>
      <c r="B44" s="18"/>
      <c r="C44" s="18"/>
      <c r="D44" s="18"/>
      <c r="E44" s="19"/>
      <c r="F44" s="18"/>
      <c r="G44" s="18"/>
      <c r="H44" s="20"/>
      <c r="I44" s="18"/>
    </row>
    <row r="45" ht="19.5" customHeight="1">
      <c r="A45" s="18"/>
      <c r="B45" s="18"/>
      <c r="C45" s="18"/>
      <c r="D45" s="18"/>
      <c r="E45" s="19"/>
      <c r="F45" s="18"/>
      <c r="G45" s="18"/>
      <c r="H45" s="20"/>
      <c r="I45" s="18"/>
    </row>
    <row r="46" ht="19.5" customHeight="1">
      <c r="A46" s="18"/>
      <c r="B46" s="18"/>
      <c r="C46" s="18"/>
      <c r="D46" s="18"/>
      <c r="E46" s="19"/>
      <c r="F46" s="18"/>
      <c r="G46" s="18"/>
      <c r="H46" s="20"/>
      <c r="I46" s="18"/>
    </row>
    <row r="47" ht="19.5" customHeight="1">
      <c r="A47" s="18"/>
      <c r="B47" s="18"/>
      <c r="C47" s="18"/>
      <c r="D47" s="18"/>
      <c r="E47" s="19"/>
      <c r="F47" s="18"/>
      <c r="G47" s="18"/>
      <c r="H47" s="20"/>
      <c r="I47" s="18"/>
    </row>
    <row r="48" ht="19.5" customHeight="1">
      <c r="A48" s="18"/>
      <c r="B48" s="18"/>
      <c r="C48" s="18"/>
      <c r="D48" s="18"/>
      <c r="E48" s="19"/>
      <c r="F48" s="18"/>
      <c r="G48" s="18"/>
      <c r="H48" s="20"/>
      <c r="I48" s="18"/>
    </row>
    <row r="49" ht="19.5" customHeight="1">
      <c r="A49" s="18"/>
      <c r="B49" s="18"/>
      <c r="C49" s="18"/>
      <c r="D49" s="18"/>
      <c r="E49" s="19"/>
      <c r="F49" s="18"/>
      <c r="G49" s="18"/>
      <c r="H49" s="20"/>
      <c r="I49" s="18"/>
    </row>
    <row r="50" ht="19.5" customHeight="1">
      <c r="A50" s="18"/>
      <c r="B50" s="18"/>
      <c r="C50" s="18"/>
      <c r="D50" s="18"/>
      <c r="E50" s="19"/>
      <c r="F50" s="18"/>
      <c r="G50" s="18"/>
      <c r="H50" s="20"/>
      <c r="I50" s="18"/>
    </row>
    <row r="51" ht="19.5" customHeight="1">
      <c r="A51" s="18"/>
      <c r="B51" s="18"/>
      <c r="C51" s="18"/>
      <c r="D51" s="18"/>
      <c r="E51" s="19"/>
      <c r="F51" s="18"/>
      <c r="G51" s="18"/>
      <c r="H51" s="20"/>
      <c r="I51" s="18"/>
    </row>
    <row r="52" ht="19.5" customHeight="1">
      <c r="A52" s="18"/>
      <c r="B52" s="18"/>
      <c r="C52" s="18"/>
      <c r="D52" s="18"/>
      <c r="E52" s="19"/>
      <c r="F52" s="18"/>
      <c r="G52" s="18"/>
      <c r="H52" s="20"/>
      <c r="I52" s="18"/>
    </row>
    <row r="53" ht="19.5" customHeight="1">
      <c r="A53" s="18"/>
      <c r="B53" s="18"/>
      <c r="C53" s="18"/>
      <c r="D53" s="18"/>
      <c r="E53" s="19"/>
      <c r="F53" s="18"/>
      <c r="G53" s="18"/>
      <c r="H53" s="20"/>
      <c r="I53" s="18"/>
    </row>
    <row r="54" ht="19.5" customHeight="1">
      <c r="A54" s="18"/>
      <c r="B54" s="18"/>
      <c r="C54" s="18"/>
      <c r="D54" s="18"/>
      <c r="E54" s="19"/>
      <c r="F54" s="18"/>
      <c r="G54" s="18"/>
      <c r="H54" s="20"/>
      <c r="I54" s="18"/>
    </row>
    <row r="55" ht="19.5" customHeight="1">
      <c r="A55" s="18"/>
      <c r="B55" s="18"/>
      <c r="C55" s="18"/>
      <c r="D55" s="18"/>
      <c r="E55" s="19"/>
      <c r="F55" s="18"/>
      <c r="G55" s="18"/>
      <c r="H55" s="20"/>
      <c r="I55" s="18"/>
    </row>
    <row r="56" ht="19.5" customHeight="1">
      <c r="A56" s="18"/>
      <c r="B56" s="18"/>
      <c r="C56" s="18"/>
      <c r="D56" s="18"/>
      <c r="E56" s="19"/>
      <c r="F56" s="18"/>
      <c r="G56" s="18"/>
      <c r="H56" s="20"/>
      <c r="I56" s="18"/>
    </row>
    <row r="57" ht="19.5" customHeight="1">
      <c r="A57" s="18"/>
      <c r="B57" s="18"/>
      <c r="C57" s="18"/>
      <c r="D57" s="18"/>
      <c r="E57" s="19"/>
      <c r="F57" s="18"/>
      <c r="G57" s="18"/>
      <c r="H57" s="20"/>
      <c r="I57" s="18"/>
    </row>
    <row r="58" ht="19.5" customHeight="1">
      <c r="A58" s="18"/>
      <c r="B58" s="18"/>
      <c r="C58" s="18"/>
      <c r="D58" s="18"/>
      <c r="E58" s="19"/>
      <c r="F58" s="18"/>
      <c r="G58" s="18"/>
      <c r="H58" s="20"/>
      <c r="I58" s="18"/>
    </row>
    <row r="59" ht="19.5" customHeight="1">
      <c r="A59" s="18"/>
      <c r="B59" s="18"/>
      <c r="C59" s="18"/>
      <c r="D59" s="18"/>
      <c r="E59" s="19"/>
      <c r="F59" s="18"/>
      <c r="G59" s="18"/>
      <c r="H59" s="20"/>
      <c r="I59" s="18"/>
    </row>
    <row r="60" ht="19.5" customHeight="1">
      <c r="A60" s="18"/>
      <c r="B60" s="18"/>
      <c r="C60" s="18"/>
      <c r="D60" s="18"/>
      <c r="E60" s="19"/>
      <c r="F60" s="18"/>
      <c r="G60" s="18"/>
      <c r="H60" s="20"/>
      <c r="I60" s="18"/>
    </row>
    <row r="61" ht="19.5" customHeight="1">
      <c r="A61" s="18"/>
      <c r="B61" s="18"/>
      <c r="C61" s="18"/>
      <c r="D61" s="18"/>
      <c r="E61" s="19"/>
      <c r="F61" s="18"/>
      <c r="G61" s="18"/>
      <c r="H61" s="20"/>
      <c r="I61" s="18"/>
    </row>
    <row r="62" ht="19.5" customHeight="1">
      <c r="A62" s="18"/>
      <c r="B62" s="18"/>
      <c r="C62" s="18"/>
      <c r="D62" s="18"/>
      <c r="E62" s="19"/>
      <c r="F62" s="18"/>
      <c r="G62" s="18"/>
      <c r="H62" s="20"/>
      <c r="I62" s="18"/>
    </row>
    <row r="63" ht="19.5" customHeight="1">
      <c r="A63" s="18"/>
      <c r="B63" s="18"/>
      <c r="C63" s="18"/>
      <c r="D63" s="18"/>
      <c r="E63" s="19"/>
      <c r="F63" s="18"/>
      <c r="G63" s="18"/>
      <c r="H63" s="20"/>
      <c r="I63" s="18"/>
    </row>
    <row r="64" ht="19.5" customHeight="1">
      <c r="A64" s="18"/>
      <c r="B64" s="18"/>
      <c r="C64" s="18"/>
      <c r="D64" s="18"/>
      <c r="E64" s="19"/>
      <c r="F64" s="18"/>
      <c r="G64" s="18"/>
      <c r="H64" s="20"/>
      <c r="I64" s="18"/>
    </row>
    <row r="65" ht="19.5" customHeight="1">
      <c r="A65" s="18"/>
      <c r="B65" s="18"/>
      <c r="C65" s="18"/>
      <c r="D65" s="18"/>
      <c r="E65" s="19"/>
      <c r="F65" s="18"/>
      <c r="G65" s="18"/>
      <c r="H65" s="20"/>
      <c r="I65" s="18"/>
    </row>
    <row r="66" ht="19.5" customHeight="1">
      <c r="A66" s="18"/>
      <c r="B66" s="18"/>
      <c r="C66" s="18"/>
      <c r="D66" s="18"/>
      <c r="E66" s="19"/>
      <c r="F66" s="18"/>
      <c r="G66" s="18"/>
      <c r="H66" s="20"/>
      <c r="I66" s="18"/>
    </row>
    <row r="67" ht="19.5" customHeight="1">
      <c r="A67" s="18"/>
      <c r="B67" s="18"/>
      <c r="C67" s="18"/>
      <c r="D67" s="18"/>
      <c r="E67" s="19"/>
      <c r="F67" s="18"/>
      <c r="G67" s="18"/>
      <c r="H67" s="20"/>
      <c r="I67" s="18"/>
    </row>
    <row r="68" ht="19.5" customHeight="1">
      <c r="A68" s="18"/>
      <c r="B68" s="18"/>
      <c r="C68" s="18"/>
      <c r="D68" s="18"/>
      <c r="E68" s="19"/>
      <c r="F68" s="18"/>
      <c r="G68" s="18"/>
      <c r="H68" s="20"/>
      <c r="I68" s="18"/>
    </row>
    <row r="69" ht="19.5" customHeight="1">
      <c r="A69" s="18"/>
      <c r="B69" s="18"/>
      <c r="C69" s="18"/>
      <c r="D69" s="18"/>
      <c r="E69" s="19"/>
      <c r="F69" s="18"/>
      <c r="G69" s="18"/>
      <c r="H69" s="20"/>
      <c r="I69" s="18"/>
    </row>
    <row r="70" ht="19.5" customHeight="1">
      <c r="A70" s="18"/>
      <c r="B70" s="18"/>
      <c r="C70" s="18"/>
      <c r="D70" s="18"/>
      <c r="E70" s="19"/>
      <c r="F70" s="18"/>
      <c r="G70" s="18"/>
      <c r="H70" s="20"/>
      <c r="I70" s="18"/>
    </row>
    <row r="71" ht="19.5" customHeight="1">
      <c r="A71" s="18"/>
      <c r="B71" s="18"/>
      <c r="C71" s="18"/>
      <c r="D71" s="18"/>
      <c r="E71" s="19"/>
      <c r="F71" s="18"/>
      <c r="G71" s="18"/>
      <c r="H71" s="20"/>
      <c r="I71" s="18"/>
    </row>
    <row r="72" ht="19.5" customHeight="1">
      <c r="A72" s="18"/>
      <c r="B72" s="18"/>
      <c r="C72" s="18"/>
      <c r="D72" s="18"/>
      <c r="E72" s="19"/>
      <c r="F72" s="18"/>
      <c r="G72" s="18"/>
      <c r="H72" s="20"/>
      <c r="I72" s="18"/>
    </row>
    <row r="73" ht="19.5" customHeight="1">
      <c r="A73" s="18"/>
      <c r="B73" s="18"/>
      <c r="C73" s="18"/>
      <c r="D73" s="18"/>
      <c r="E73" s="19"/>
      <c r="F73" s="18"/>
      <c r="G73" s="18"/>
      <c r="H73" s="20"/>
      <c r="I73" s="18"/>
    </row>
    <row r="74" ht="19.5" customHeight="1">
      <c r="A74" s="18"/>
      <c r="B74" s="18"/>
      <c r="C74" s="18"/>
      <c r="D74" s="18"/>
      <c r="E74" s="19"/>
      <c r="F74" s="18"/>
      <c r="G74" s="18"/>
      <c r="H74" s="20"/>
      <c r="I74" s="18"/>
    </row>
    <row r="75" ht="19.5" customHeight="1">
      <c r="A75" s="18"/>
      <c r="B75" s="18"/>
      <c r="C75" s="18"/>
      <c r="D75" s="18"/>
      <c r="E75" s="19"/>
      <c r="F75" s="18"/>
      <c r="G75" s="18"/>
      <c r="H75" s="20"/>
      <c r="I75" s="18"/>
    </row>
    <row r="76" ht="19.5" customHeight="1">
      <c r="A76" s="18"/>
      <c r="B76" s="18"/>
      <c r="C76" s="18"/>
      <c r="D76" s="18"/>
      <c r="E76" s="19"/>
      <c r="F76" s="18"/>
      <c r="G76" s="18"/>
      <c r="H76" s="20"/>
      <c r="I76" s="18"/>
    </row>
    <row r="77" ht="19.5" customHeight="1">
      <c r="A77" s="18"/>
      <c r="B77" s="18"/>
      <c r="C77" s="18"/>
      <c r="D77" s="18"/>
      <c r="E77" s="19"/>
      <c r="F77" s="18"/>
      <c r="G77" s="18"/>
      <c r="H77" s="20"/>
      <c r="I77" s="18"/>
    </row>
    <row r="78" ht="19.5" customHeight="1">
      <c r="A78" s="18"/>
      <c r="B78" s="18"/>
      <c r="C78" s="18"/>
      <c r="D78" s="18"/>
      <c r="E78" s="19"/>
      <c r="F78" s="18"/>
      <c r="G78" s="18"/>
      <c r="H78" s="20"/>
      <c r="I78" s="18"/>
    </row>
    <row r="79" ht="19.5" customHeight="1">
      <c r="A79" s="18"/>
      <c r="B79" s="18"/>
      <c r="C79" s="18"/>
      <c r="D79" s="18"/>
      <c r="E79" s="19"/>
      <c r="F79" s="18"/>
      <c r="G79" s="18"/>
      <c r="H79" s="20"/>
      <c r="I79" s="18"/>
    </row>
    <row r="80" ht="19.5" customHeight="1">
      <c r="A80" s="18"/>
      <c r="B80" s="18"/>
      <c r="C80" s="18"/>
      <c r="D80" s="18"/>
      <c r="E80" s="19"/>
      <c r="F80" s="18"/>
      <c r="G80" s="18"/>
      <c r="H80" s="20"/>
      <c r="I80" s="18"/>
    </row>
    <row r="81" ht="19.5" customHeight="1">
      <c r="A81" s="18"/>
      <c r="B81" s="18"/>
      <c r="C81" s="18"/>
      <c r="D81" s="18"/>
      <c r="E81" s="19"/>
      <c r="F81" s="18"/>
      <c r="G81" s="18"/>
      <c r="H81" s="20"/>
      <c r="I81" s="18"/>
    </row>
    <row r="82" ht="19.5" customHeight="1">
      <c r="A82" s="18"/>
      <c r="B82" s="18"/>
      <c r="C82" s="18"/>
      <c r="D82" s="18"/>
      <c r="E82" s="19"/>
      <c r="F82" s="18"/>
      <c r="G82" s="18"/>
      <c r="H82" s="20"/>
      <c r="I82" s="18"/>
    </row>
    <row r="83" ht="19.5" customHeight="1">
      <c r="A83" s="18"/>
      <c r="B83" s="18"/>
      <c r="C83" s="18"/>
      <c r="D83" s="18"/>
      <c r="E83" s="19"/>
      <c r="F83" s="18"/>
      <c r="G83" s="18"/>
      <c r="H83" s="20"/>
      <c r="I83" s="18"/>
    </row>
    <row r="84" ht="19.5" customHeight="1">
      <c r="A84" s="18"/>
      <c r="B84" s="18"/>
      <c r="C84" s="18"/>
      <c r="D84" s="18"/>
      <c r="E84" s="19"/>
      <c r="F84" s="18"/>
      <c r="G84" s="18"/>
      <c r="H84" s="20"/>
      <c r="I84" s="18"/>
    </row>
    <row r="85" ht="19.5" customHeight="1">
      <c r="A85" s="18"/>
      <c r="B85" s="18"/>
      <c r="C85" s="18"/>
      <c r="D85" s="18"/>
      <c r="E85" s="19"/>
      <c r="F85" s="18"/>
      <c r="G85" s="18"/>
      <c r="H85" s="20"/>
      <c r="I85" s="18"/>
    </row>
    <row r="86" ht="19.5" customHeight="1">
      <c r="A86" s="18"/>
      <c r="B86" s="18"/>
      <c r="C86" s="18"/>
      <c r="D86" s="18"/>
      <c r="E86" s="19"/>
      <c r="F86" s="18"/>
      <c r="G86" s="18"/>
      <c r="H86" s="20"/>
      <c r="I86" s="18"/>
    </row>
    <row r="87" ht="19.5" customHeight="1">
      <c r="A87" s="18"/>
      <c r="B87" s="18"/>
      <c r="C87" s="18"/>
      <c r="D87" s="18"/>
      <c r="E87" s="19"/>
      <c r="F87" s="18"/>
      <c r="G87" s="18"/>
      <c r="H87" s="20"/>
      <c r="I87" s="18"/>
    </row>
    <row r="88" ht="19.5" customHeight="1">
      <c r="A88" s="18"/>
      <c r="B88" s="18"/>
      <c r="C88" s="18"/>
      <c r="D88" s="18"/>
      <c r="E88" s="19"/>
      <c r="F88" s="18"/>
      <c r="G88" s="18"/>
      <c r="H88" s="20"/>
      <c r="I88" s="18"/>
    </row>
    <row r="89" ht="19.5" customHeight="1">
      <c r="A89" s="18"/>
      <c r="B89" s="18"/>
      <c r="C89" s="18"/>
      <c r="D89" s="18"/>
      <c r="E89" s="19"/>
      <c r="F89" s="18"/>
      <c r="G89" s="18"/>
      <c r="H89" s="20"/>
      <c r="I89" s="18"/>
    </row>
    <row r="90" ht="19.5" customHeight="1">
      <c r="A90" s="18"/>
      <c r="B90" s="18"/>
      <c r="C90" s="18"/>
      <c r="D90" s="18"/>
      <c r="E90" s="19"/>
      <c r="F90" s="18"/>
      <c r="G90" s="18"/>
      <c r="H90" s="20"/>
      <c r="I90" s="18"/>
    </row>
    <row r="91" ht="19.5" customHeight="1">
      <c r="A91" s="18"/>
      <c r="B91" s="18"/>
      <c r="C91" s="18"/>
      <c r="D91" s="18"/>
      <c r="E91" s="19"/>
      <c r="F91" s="18"/>
      <c r="G91" s="18"/>
      <c r="H91" s="20"/>
      <c r="I91" s="18"/>
    </row>
    <row r="92" ht="19.5" customHeight="1">
      <c r="A92" s="18"/>
      <c r="B92" s="18"/>
      <c r="C92" s="18"/>
      <c r="D92" s="18"/>
      <c r="E92" s="19"/>
      <c r="F92" s="18"/>
      <c r="G92" s="18"/>
      <c r="H92" s="20"/>
      <c r="I92" s="18"/>
    </row>
    <row r="93" ht="19.5" customHeight="1">
      <c r="A93" s="18"/>
      <c r="B93" s="18"/>
      <c r="C93" s="18"/>
      <c r="D93" s="18"/>
      <c r="E93" s="19"/>
      <c r="F93" s="18"/>
      <c r="G93" s="18"/>
      <c r="H93" s="20"/>
      <c r="I93" s="18"/>
    </row>
    <row r="94" ht="19.5" customHeight="1">
      <c r="A94" s="18"/>
      <c r="B94" s="18"/>
      <c r="C94" s="18"/>
      <c r="D94" s="18"/>
      <c r="E94" s="19"/>
      <c r="F94" s="18"/>
      <c r="G94" s="18"/>
      <c r="H94" s="20"/>
      <c r="I94" s="18"/>
    </row>
    <row r="95" ht="19.5" customHeight="1">
      <c r="A95" s="18"/>
      <c r="B95" s="18"/>
      <c r="C95" s="18"/>
      <c r="D95" s="18"/>
      <c r="E95" s="19"/>
      <c r="F95" s="18"/>
      <c r="G95" s="18"/>
      <c r="H95" s="20"/>
      <c r="I95" s="18"/>
    </row>
    <row r="96" ht="19.5" customHeight="1">
      <c r="A96" s="18"/>
      <c r="B96" s="18"/>
      <c r="C96" s="18"/>
      <c r="D96" s="18"/>
      <c r="E96" s="19"/>
      <c r="F96" s="18"/>
      <c r="G96" s="18"/>
      <c r="H96" s="20"/>
      <c r="I96" s="18"/>
    </row>
    <row r="97" ht="19.5" customHeight="1">
      <c r="A97" s="18"/>
      <c r="B97" s="18"/>
      <c r="C97" s="18"/>
      <c r="D97" s="18"/>
      <c r="E97" s="19"/>
      <c r="F97" s="18"/>
      <c r="G97" s="18"/>
      <c r="H97" s="20"/>
      <c r="I97" s="18"/>
    </row>
    <row r="98" ht="19.5" customHeight="1">
      <c r="A98" s="18"/>
      <c r="B98" s="18"/>
      <c r="C98" s="18"/>
      <c r="D98" s="18"/>
      <c r="E98" s="19"/>
      <c r="F98" s="18"/>
      <c r="G98" s="18"/>
      <c r="H98" s="20"/>
      <c r="I98" s="18"/>
    </row>
    <row r="99" ht="19.5" customHeight="1">
      <c r="A99" s="18"/>
      <c r="B99" s="18"/>
      <c r="C99" s="18"/>
      <c r="D99" s="18"/>
      <c r="E99" s="19"/>
      <c r="F99" s="18"/>
      <c r="G99" s="18"/>
      <c r="H99" s="20"/>
      <c r="I99" s="18"/>
    </row>
    <row r="100" ht="19.5" customHeight="1">
      <c r="A100" s="18"/>
      <c r="B100" s="18"/>
      <c r="C100" s="18"/>
      <c r="D100" s="18"/>
      <c r="E100" s="19"/>
      <c r="F100" s="18"/>
      <c r="G100" s="18"/>
      <c r="H100" s="20"/>
      <c r="I100" s="18"/>
    </row>
    <row r="101" ht="19.5" customHeight="1">
      <c r="A101" s="18"/>
      <c r="B101" s="18"/>
      <c r="C101" s="18"/>
      <c r="D101" s="18"/>
      <c r="E101" s="19"/>
      <c r="F101" s="18"/>
      <c r="G101" s="18"/>
      <c r="H101" s="20"/>
      <c r="I101" s="18"/>
    </row>
    <row r="102" ht="19.5" customHeight="1">
      <c r="A102" s="18"/>
      <c r="B102" s="18"/>
      <c r="C102" s="18"/>
      <c r="D102" s="18"/>
      <c r="E102" s="19"/>
      <c r="F102" s="18"/>
      <c r="G102" s="18"/>
      <c r="H102" s="20"/>
      <c r="I102" s="18"/>
    </row>
    <row r="103" ht="19.5" customHeight="1">
      <c r="A103" s="18"/>
      <c r="B103" s="18"/>
      <c r="C103" s="18"/>
      <c r="D103" s="18"/>
      <c r="E103" s="19"/>
      <c r="F103" s="18"/>
      <c r="G103" s="18"/>
      <c r="H103" s="20"/>
      <c r="I103" s="18"/>
    </row>
    <row r="104" ht="19.5" customHeight="1">
      <c r="A104" s="18"/>
      <c r="B104" s="18"/>
      <c r="C104" s="18"/>
      <c r="D104" s="18"/>
      <c r="E104" s="19"/>
      <c r="F104" s="18"/>
      <c r="G104" s="18"/>
      <c r="H104" s="20"/>
      <c r="I104" s="18"/>
    </row>
    <row r="105" ht="19.5" customHeight="1">
      <c r="A105" s="18"/>
      <c r="B105" s="18"/>
      <c r="C105" s="18"/>
      <c r="D105" s="18"/>
      <c r="E105" s="19"/>
      <c r="F105" s="18"/>
      <c r="G105" s="18"/>
      <c r="H105" s="20"/>
      <c r="I105" s="18"/>
    </row>
    <row r="106" ht="19.5" customHeight="1">
      <c r="A106" s="18"/>
      <c r="B106" s="18"/>
      <c r="C106" s="18"/>
      <c r="D106" s="18"/>
      <c r="E106" s="19"/>
      <c r="F106" s="18"/>
      <c r="G106" s="18"/>
      <c r="H106" s="20"/>
      <c r="I106" s="18"/>
    </row>
    <row r="107" ht="19.5" customHeight="1">
      <c r="A107" s="18"/>
      <c r="B107" s="18"/>
      <c r="C107" s="18"/>
      <c r="D107" s="18"/>
      <c r="E107" s="19"/>
      <c r="F107" s="18"/>
      <c r="G107" s="18"/>
      <c r="H107" s="20"/>
      <c r="I107" s="18"/>
    </row>
    <row r="108" ht="19.5" customHeight="1">
      <c r="A108" s="18"/>
      <c r="B108" s="18"/>
      <c r="C108" s="18"/>
      <c r="D108" s="18"/>
      <c r="E108" s="19"/>
      <c r="F108" s="18"/>
      <c r="G108" s="18"/>
      <c r="H108" s="20"/>
      <c r="I108" s="18"/>
    </row>
    <row r="109" ht="19.5" customHeight="1">
      <c r="A109" s="18"/>
      <c r="B109" s="18"/>
      <c r="C109" s="18"/>
      <c r="D109" s="18"/>
      <c r="E109" s="19"/>
      <c r="F109" s="18"/>
      <c r="G109" s="18"/>
      <c r="H109" s="20"/>
      <c r="I109" s="18"/>
    </row>
    <row r="110" ht="19.5" customHeight="1">
      <c r="A110" s="18"/>
      <c r="B110" s="18"/>
      <c r="C110" s="18"/>
      <c r="D110" s="18"/>
      <c r="E110" s="19"/>
      <c r="F110" s="18"/>
      <c r="G110" s="18"/>
      <c r="H110" s="20"/>
      <c r="I110" s="18"/>
    </row>
    <row r="111" ht="19.5" customHeight="1">
      <c r="A111" s="18"/>
      <c r="B111" s="18"/>
      <c r="C111" s="18"/>
      <c r="D111" s="18"/>
      <c r="E111" s="19"/>
      <c r="F111" s="18"/>
      <c r="G111" s="18"/>
      <c r="H111" s="20"/>
      <c r="I111" s="18"/>
    </row>
    <row r="112" ht="19.5" customHeight="1">
      <c r="A112" s="18"/>
      <c r="B112" s="18"/>
      <c r="C112" s="18"/>
      <c r="D112" s="18"/>
      <c r="E112" s="19"/>
      <c r="F112" s="18"/>
      <c r="G112" s="18"/>
      <c r="H112" s="20"/>
      <c r="I112" s="18"/>
    </row>
    <row r="113" ht="19.5" customHeight="1">
      <c r="A113" s="18"/>
      <c r="B113" s="18"/>
      <c r="C113" s="18"/>
      <c r="D113" s="18"/>
      <c r="E113" s="19"/>
      <c r="F113" s="18"/>
      <c r="G113" s="18"/>
      <c r="H113" s="20"/>
      <c r="I113" s="18"/>
    </row>
    <row r="114" ht="19.5" customHeight="1">
      <c r="A114" s="18"/>
      <c r="B114" s="18"/>
      <c r="C114" s="18"/>
      <c r="D114" s="18"/>
      <c r="E114" s="19"/>
      <c r="F114" s="18"/>
      <c r="G114" s="18"/>
      <c r="H114" s="20"/>
      <c r="I114" s="18"/>
    </row>
    <row r="115" ht="19.5" customHeight="1">
      <c r="A115" s="18"/>
      <c r="B115" s="18"/>
      <c r="C115" s="18"/>
      <c r="D115" s="18"/>
      <c r="E115" s="19"/>
      <c r="F115" s="18"/>
      <c r="G115" s="18"/>
      <c r="H115" s="20"/>
      <c r="I115" s="18"/>
    </row>
    <row r="116" ht="19.5" customHeight="1">
      <c r="A116" s="18"/>
      <c r="B116" s="18"/>
      <c r="C116" s="18"/>
      <c r="D116" s="18"/>
      <c r="E116" s="19"/>
      <c r="F116" s="18"/>
      <c r="G116" s="18"/>
      <c r="H116" s="20"/>
      <c r="I116" s="18"/>
    </row>
    <row r="117" ht="19.5" customHeight="1">
      <c r="A117" s="18"/>
      <c r="B117" s="18"/>
      <c r="C117" s="18"/>
      <c r="D117" s="18"/>
      <c r="E117" s="19"/>
      <c r="F117" s="18"/>
      <c r="G117" s="18"/>
      <c r="H117" s="20"/>
      <c r="I117" s="18"/>
    </row>
    <row r="118" ht="19.5" customHeight="1">
      <c r="A118" s="18"/>
      <c r="B118" s="18"/>
      <c r="C118" s="18"/>
      <c r="D118" s="18"/>
      <c r="E118" s="19"/>
      <c r="F118" s="18"/>
      <c r="G118" s="18"/>
      <c r="H118" s="20"/>
      <c r="I118" s="18"/>
    </row>
    <row r="119" ht="19.5" customHeight="1">
      <c r="A119" s="18"/>
      <c r="B119" s="18"/>
      <c r="C119" s="18"/>
      <c r="D119" s="18"/>
      <c r="E119" s="19"/>
      <c r="F119" s="18"/>
      <c r="G119" s="18"/>
      <c r="H119" s="20"/>
      <c r="I119" s="18"/>
    </row>
    <row r="120" ht="19.5" customHeight="1">
      <c r="A120" s="18"/>
      <c r="B120" s="18"/>
      <c r="C120" s="18"/>
      <c r="D120" s="18"/>
      <c r="E120" s="19"/>
      <c r="F120" s="18"/>
      <c r="G120" s="18"/>
      <c r="H120" s="20"/>
      <c r="I120" s="18"/>
    </row>
    <row r="121" ht="19.5" customHeight="1">
      <c r="A121" s="18"/>
      <c r="B121" s="18"/>
      <c r="C121" s="18"/>
      <c r="D121" s="18"/>
      <c r="E121" s="19"/>
      <c r="F121" s="18"/>
      <c r="G121" s="18"/>
      <c r="H121" s="20"/>
      <c r="I121" s="18"/>
    </row>
    <row r="122" ht="19.5" customHeight="1">
      <c r="A122" s="18"/>
      <c r="B122" s="18"/>
      <c r="C122" s="18"/>
      <c r="D122" s="18"/>
      <c r="E122" s="19"/>
      <c r="F122" s="18"/>
      <c r="G122" s="18"/>
      <c r="H122" s="20"/>
      <c r="I122" s="18"/>
    </row>
    <row r="123" ht="19.5" customHeight="1">
      <c r="A123" s="18"/>
      <c r="B123" s="18"/>
      <c r="C123" s="18"/>
      <c r="D123" s="18"/>
      <c r="E123" s="19"/>
      <c r="F123" s="18"/>
      <c r="G123" s="18"/>
      <c r="H123" s="20"/>
      <c r="I123" s="18"/>
    </row>
    <row r="124" ht="19.5" customHeight="1">
      <c r="A124" s="18"/>
      <c r="B124" s="18"/>
      <c r="C124" s="18"/>
      <c r="D124" s="18"/>
      <c r="E124" s="19"/>
      <c r="F124" s="18"/>
      <c r="G124" s="18"/>
      <c r="H124" s="20"/>
      <c r="I124" s="18"/>
    </row>
    <row r="125" ht="19.5" customHeight="1">
      <c r="A125" s="18"/>
      <c r="B125" s="18"/>
      <c r="C125" s="18"/>
      <c r="D125" s="18"/>
      <c r="E125" s="19"/>
      <c r="F125" s="18"/>
      <c r="G125" s="18"/>
      <c r="H125" s="20"/>
      <c r="I125" s="18"/>
    </row>
    <row r="126" ht="19.5" customHeight="1">
      <c r="A126" s="18"/>
      <c r="B126" s="18"/>
      <c r="C126" s="18"/>
      <c r="D126" s="18"/>
      <c r="E126" s="19"/>
      <c r="F126" s="18"/>
      <c r="G126" s="18"/>
      <c r="H126" s="20"/>
      <c r="I126" s="18"/>
    </row>
    <row r="127" ht="19.5" customHeight="1">
      <c r="A127" s="18"/>
      <c r="B127" s="18"/>
      <c r="C127" s="18"/>
      <c r="D127" s="18"/>
      <c r="E127" s="19"/>
      <c r="F127" s="18"/>
      <c r="G127" s="18"/>
      <c r="H127" s="20"/>
      <c r="I127" s="18"/>
    </row>
    <row r="128" ht="19.5" customHeight="1">
      <c r="A128" s="18"/>
      <c r="B128" s="18"/>
      <c r="C128" s="18"/>
      <c r="D128" s="18"/>
      <c r="E128" s="19"/>
      <c r="F128" s="18"/>
      <c r="G128" s="18"/>
      <c r="H128" s="20"/>
      <c r="I128" s="18"/>
    </row>
    <row r="129" ht="19.5" customHeight="1">
      <c r="A129" s="18"/>
      <c r="B129" s="18"/>
      <c r="C129" s="18"/>
      <c r="D129" s="18"/>
      <c r="E129" s="19"/>
      <c r="F129" s="18"/>
      <c r="G129" s="18"/>
      <c r="H129" s="20"/>
      <c r="I129" s="18"/>
    </row>
    <row r="130" ht="19.5" customHeight="1">
      <c r="A130" s="18"/>
      <c r="B130" s="18"/>
      <c r="C130" s="18"/>
      <c r="D130" s="18"/>
      <c r="E130" s="19"/>
      <c r="F130" s="18"/>
      <c r="G130" s="18"/>
      <c r="H130" s="20"/>
      <c r="I130" s="18"/>
    </row>
    <row r="131" ht="19.5" customHeight="1">
      <c r="A131" s="18"/>
      <c r="B131" s="18"/>
      <c r="C131" s="18"/>
      <c r="D131" s="18"/>
      <c r="E131" s="19"/>
      <c r="F131" s="18"/>
      <c r="G131" s="18"/>
      <c r="H131" s="20"/>
      <c r="I131" s="18"/>
    </row>
    <row r="132" ht="19.5" customHeight="1">
      <c r="A132" s="18"/>
      <c r="B132" s="18"/>
      <c r="C132" s="18"/>
      <c r="D132" s="18"/>
      <c r="E132" s="19"/>
      <c r="F132" s="18"/>
      <c r="G132" s="18"/>
      <c r="H132" s="20"/>
      <c r="I132" s="18"/>
    </row>
    <row r="133" ht="19.5" customHeight="1">
      <c r="A133" s="18"/>
      <c r="B133" s="18"/>
      <c r="C133" s="18"/>
      <c r="D133" s="18"/>
      <c r="E133" s="19"/>
      <c r="F133" s="18"/>
      <c r="G133" s="18"/>
      <c r="H133" s="20"/>
      <c r="I133" s="18"/>
    </row>
    <row r="134" ht="19.5" customHeight="1">
      <c r="A134" s="18"/>
      <c r="B134" s="18"/>
      <c r="C134" s="18"/>
      <c r="D134" s="18"/>
      <c r="E134" s="19"/>
      <c r="F134" s="18"/>
      <c r="G134" s="18"/>
      <c r="H134" s="20"/>
      <c r="I134" s="18"/>
    </row>
    <row r="135" ht="19.5" customHeight="1">
      <c r="A135" s="18"/>
      <c r="B135" s="18"/>
      <c r="C135" s="18"/>
      <c r="D135" s="18"/>
      <c r="E135" s="19"/>
      <c r="F135" s="18"/>
      <c r="G135" s="18"/>
      <c r="H135" s="20"/>
      <c r="I135" s="18"/>
    </row>
    <row r="136" ht="19.5" customHeight="1">
      <c r="A136" s="18"/>
      <c r="B136" s="18"/>
      <c r="C136" s="18"/>
      <c r="D136" s="18"/>
      <c r="E136" s="19"/>
      <c r="F136" s="18"/>
      <c r="G136" s="18"/>
      <c r="H136" s="20"/>
      <c r="I136" s="18"/>
    </row>
    <row r="137" ht="19.5" customHeight="1">
      <c r="A137" s="18"/>
      <c r="B137" s="18"/>
      <c r="C137" s="18"/>
      <c r="D137" s="18"/>
      <c r="E137" s="19"/>
      <c r="F137" s="18"/>
      <c r="G137" s="18"/>
      <c r="H137" s="20"/>
      <c r="I137" s="18"/>
    </row>
    <row r="138" ht="19.5" customHeight="1">
      <c r="A138" s="18"/>
      <c r="B138" s="18"/>
      <c r="C138" s="18"/>
      <c r="D138" s="18"/>
      <c r="E138" s="19"/>
      <c r="F138" s="18"/>
      <c r="G138" s="18"/>
      <c r="H138" s="20"/>
      <c r="I138" s="18"/>
    </row>
    <row r="139" ht="19.5" customHeight="1">
      <c r="A139" s="18"/>
      <c r="B139" s="18"/>
      <c r="C139" s="18"/>
      <c r="D139" s="18"/>
      <c r="E139" s="19"/>
      <c r="F139" s="18"/>
      <c r="G139" s="18"/>
      <c r="H139" s="20"/>
      <c r="I139" s="18"/>
    </row>
    <row r="140" ht="19.5" customHeight="1">
      <c r="A140" s="18"/>
      <c r="B140" s="18"/>
      <c r="C140" s="18"/>
      <c r="D140" s="18"/>
      <c r="E140" s="19"/>
      <c r="F140" s="18"/>
      <c r="G140" s="18"/>
      <c r="H140" s="20"/>
      <c r="I140" s="18"/>
    </row>
    <row r="141" ht="19.5" customHeight="1">
      <c r="A141" s="18"/>
      <c r="B141" s="18"/>
      <c r="C141" s="18"/>
      <c r="D141" s="18"/>
      <c r="E141" s="19"/>
      <c r="F141" s="18"/>
      <c r="G141" s="18"/>
      <c r="H141" s="20"/>
      <c r="I141" s="18"/>
    </row>
    <row r="142" ht="19.5" customHeight="1">
      <c r="A142" s="18"/>
      <c r="B142" s="18"/>
      <c r="C142" s="18"/>
      <c r="D142" s="18"/>
      <c r="E142" s="19"/>
      <c r="F142" s="18"/>
      <c r="G142" s="18"/>
      <c r="H142" s="20"/>
      <c r="I142" s="18"/>
    </row>
    <row r="143" ht="19.5" customHeight="1">
      <c r="A143" s="18"/>
      <c r="B143" s="18"/>
      <c r="C143" s="18"/>
      <c r="D143" s="18"/>
      <c r="E143" s="19"/>
      <c r="F143" s="18"/>
      <c r="G143" s="18"/>
      <c r="H143" s="20"/>
      <c r="I143" s="18"/>
    </row>
    <row r="144" ht="19.5" customHeight="1">
      <c r="A144" s="18"/>
      <c r="B144" s="18"/>
      <c r="C144" s="18"/>
      <c r="D144" s="18"/>
      <c r="E144" s="19"/>
      <c r="F144" s="18"/>
      <c r="G144" s="18"/>
      <c r="H144" s="20"/>
      <c r="I144" s="18"/>
    </row>
    <row r="145" ht="19.5" customHeight="1">
      <c r="A145" s="18"/>
      <c r="B145" s="18"/>
      <c r="C145" s="18"/>
      <c r="D145" s="18"/>
      <c r="E145" s="19"/>
      <c r="F145" s="18"/>
      <c r="G145" s="18"/>
      <c r="H145" s="20"/>
      <c r="I145" s="18"/>
    </row>
    <row r="146" ht="19.5" customHeight="1">
      <c r="A146" s="18"/>
      <c r="B146" s="18"/>
      <c r="C146" s="18"/>
      <c r="D146" s="18"/>
      <c r="E146" s="19"/>
      <c r="F146" s="18"/>
      <c r="G146" s="18"/>
      <c r="H146" s="20"/>
      <c r="I146" s="18"/>
    </row>
    <row r="147" ht="19.5" customHeight="1">
      <c r="A147" s="18"/>
      <c r="B147" s="18"/>
      <c r="C147" s="18"/>
      <c r="D147" s="18"/>
      <c r="E147" s="19"/>
      <c r="F147" s="18"/>
      <c r="G147" s="18"/>
      <c r="H147" s="20"/>
      <c r="I147" s="18"/>
    </row>
    <row r="148" ht="19.5" customHeight="1">
      <c r="A148" s="18"/>
      <c r="B148" s="18"/>
      <c r="C148" s="18"/>
      <c r="D148" s="18"/>
      <c r="E148" s="19"/>
      <c r="F148" s="18"/>
      <c r="G148" s="18"/>
      <c r="H148" s="20"/>
      <c r="I148" s="18"/>
    </row>
    <row r="149" ht="19.5" customHeight="1">
      <c r="A149" s="18"/>
      <c r="B149" s="18"/>
      <c r="C149" s="18"/>
      <c r="D149" s="18"/>
      <c r="E149" s="19"/>
      <c r="F149" s="18"/>
      <c r="G149" s="18"/>
      <c r="H149" s="20"/>
      <c r="I149" s="18"/>
    </row>
    <row r="150" ht="19.5" customHeight="1">
      <c r="A150" s="18"/>
      <c r="B150" s="18"/>
      <c r="C150" s="18"/>
      <c r="D150" s="18"/>
      <c r="E150" s="19"/>
      <c r="F150" s="18"/>
      <c r="G150" s="18"/>
      <c r="H150" s="20"/>
      <c r="I150" s="18"/>
    </row>
    <row r="151" ht="19.5" customHeight="1">
      <c r="A151" s="18"/>
      <c r="B151" s="18"/>
      <c r="C151" s="18"/>
      <c r="D151" s="18"/>
      <c r="E151" s="19"/>
      <c r="F151" s="18"/>
      <c r="G151" s="18"/>
      <c r="H151" s="20"/>
      <c r="I151" s="18"/>
    </row>
    <row r="152" ht="19.5" customHeight="1">
      <c r="A152" s="18"/>
      <c r="B152" s="18"/>
      <c r="C152" s="18"/>
      <c r="D152" s="18"/>
      <c r="E152" s="19"/>
      <c r="F152" s="18"/>
      <c r="G152" s="18"/>
      <c r="H152" s="20"/>
      <c r="I152" s="18"/>
    </row>
    <row r="153" ht="19.5" customHeight="1">
      <c r="A153" s="18"/>
      <c r="B153" s="18"/>
      <c r="C153" s="18"/>
      <c r="D153" s="18"/>
      <c r="E153" s="19"/>
      <c r="F153" s="18"/>
      <c r="G153" s="18"/>
      <c r="H153" s="20"/>
      <c r="I153" s="18"/>
    </row>
    <row r="154" ht="19.5" customHeight="1">
      <c r="A154" s="18"/>
      <c r="B154" s="18"/>
      <c r="C154" s="18"/>
      <c r="D154" s="18"/>
      <c r="E154" s="19"/>
      <c r="F154" s="18"/>
      <c r="G154" s="18"/>
      <c r="H154" s="20"/>
      <c r="I154" s="18"/>
    </row>
    <row r="155" ht="19.5" customHeight="1">
      <c r="A155" s="18"/>
      <c r="B155" s="18"/>
      <c r="C155" s="18"/>
      <c r="D155" s="18"/>
      <c r="E155" s="19"/>
      <c r="F155" s="18"/>
      <c r="G155" s="18"/>
      <c r="H155" s="20"/>
      <c r="I155" s="18"/>
    </row>
    <row r="156" ht="19.5" customHeight="1">
      <c r="A156" s="18"/>
      <c r="B156" s="18"/>
      <c r="C156" s="18"/>
      <c r="D156" s="18"/>
      <c r="E156" s="19"/>
      <c r="F156" s="18"/>
      <c r="G156" s="18"/>
      <c r="H156" s="20"/>
      <c r="I156" s="18"/>
    </row>
    <row r="157" ht="19.5" customHeight="1">
      <c r="A157" s="18"/>
      <c r="B157" s="18"/>
      <c r="C157" s="18"/>
      <c r="D157" s="18"/>
      <c r="E157" s="19"/>
      <c r="F157" s="18"/>
      <c r="G157" s="18"/>
      <c r="H157" s="20"/>
      <c r="I157" s="18"/>
    </row>
    <row r="158" ht="19.5" customHeight="1">
      <c r="A158" s="18"/>
      <c r="B158" s="18"/>
      <c r="C158" s="18"/>
      <c r="D158" s="18"/>
      <c r="E158" s="19"/>
      <c r="F158" s="18"/>
      <c r="G158" s="18"/>
      <c r="H158" s="20"/>
      <c r="I158" s="18"/>
    </row>
    <row r="159" ht="19.5" customHeight="1">
      <c r="A159" s="18"/>
      <c r="B159" s="18"/>
      <c r="C159" s="18"/>
      <c r="D159" s="18"/>
      <c r="E159" s="19"/>
      <c r="F159" s="18"/>
      <c r="G159" s="18"/>
      <c r="H159" s="20"/>
      <c r="I159" s="18"/>
    </row>
    <row r="160" ht="19.5" customHeight="1">
      <c r="A160" s="18"/>
      <c r="B160" s="18"/>
      <c r="C160" s="18"/>
      <c r="D160" s="18"/>
      <c r="E160" s="19"/>
      <c r="F160" s="18"/>
      <c r="G160" s="18"/>
      <c r="H160" s="20"/>
      <c r="I160" s="18"/>
    </row>
    <row r="161" ht="19.5" customHeight="1">
      <c r="A161" s="18"/>
      <c r="B161" s="18"/>
      <c r="C161" s="18"/>
      <c r="D161" s="18"/>
      <c r="E161" s="19"/>
      <c r="F161" s="18"/>
      <c r="G161" s="18"/>
      <c r="H161" s="20"/>
      <c r="I161" s="18"/>
    </row>
    <row r="162" ht="19.5" customHeight="1">
      <c r="A162" s="18"/>
      <c r="B162" s="18"/>
      <c r="C162" s="18"/>
      <c r="D162" s="18"/>
      <c r="E162" s="19"/>
      <c r="F162" s="18"/>
      <c r="G162" s="18"/>
      <c r="H162" s="20"/>
      <c r="I162" s="18"/>
    </row>
    <row r="163" ht="19.5" customHeight="1">
      <c r="A163" s="18"/>
      <c r="B163" s="18"/>
      <c r="C163" s="18"/>
      <c r="D163" s="18"/>
      <c r="E163" s="19"/>
      <c r="F163" s="18"/>
      <c r="G163" s="18"/>
      <c r="H163" s="20"/>
      <c r="I163" s="18"/>
    </row>
    <row r="164" ht="19.5" customHeight="1">
      <c r="A164" s="18"/>
      <c r="B164" s="18"/>
      <c r="C164" s="18"/>
      <c r="D164" s="18"/>
      <c r="E164" s="19"/>
      <c r="F164" s="18"/>
      <c r="G164" s="18"/>
      <c r="H164" s="20"/>
      <c r="I164" s="18"/>
    </row>
    <row r="165" ht="19.5" customHeight="1">
      <c r="A165" s="18"/>
      <c r="B165" s="18"/>
      <c r="C165" s="18"/>
      <c r="D165" s="18"/>
      <c r="E165" s="19"/>
      <c r="F165" s="18"/>
      <c r="G165" s="18"/>
      <c r="H165" s="20"/>
      <c r="I165" s="18"/>
    </row>
    <row r="166" ht="19.5" customHeight="1">
      <c r="A166" s="18"/>
      <c r="B166" s="18"/>
      <c r="C166" s="18"/>
      <c r="D166" s="18"/>
      <c r="E166" s="19"/>
      <c r="F166" s="18"/>
      <c r="G166" s="18"/>
      <c r="H166" s="20"/>
      <c r="I166" s="18"/>
    </row>
    <row r="167" ht="19.5" customHeight="1">
      <c r="A167" s="18"/>
      <c r="B167" s="18"/>
      <c r="C167" s="18"/>
      <c r="D167" s="18"/>
      <c r="E167" s="19"/>
      <c r="F167" s="18"/>
      <c r="G167" s="18"/>
      <c r="H167" s="20"/>
      <c r="I167" s="18"/>
    </row>
    <row r="168" ht="19.5" customHeight="1">
      <c r="A168" s="18"/>
      <c r="B168" s="18"/>
      <c r="C168" s="18"/>
      <c r="D168" s="18"/>
      <c r="E168" s="19"/>
      <c r="F168" s="18"/>
      <c r="G168" s="18"/>
      <c r="H168" s="20"/>
      <c r="I168" s="18"/>
    </row>
    <row r="169" ht="19.5" customHeight="1">
      <c r="A169" s="18"/>
      <c r="B169" s="18"/>
      <c r="C169" s="18"/>
      <c r="D169" s="18"/>
      <c r="E169" s="19"/>
      <c r="F169" s="18"/>
      <c r="G169" s="18"/>
      <c r="H169" s="20"/>
      <c r="I169" s="18"/>
    </row>
    <row r="170" ht="19.5" customHeight="1">
      <c r="A170" s="18"/>
      <c r="B170" s="18"/>
      <c r="C170" s="18"/>
      <c r="D170" s="18"/>
      <c r="E170" s="19"/>
      <c r="F170" s="18"/>
      <c r="G170" s="18"/>
      <c r="H170" s="20"/>
      <c r="I170" s="18"/>
    </row>
    <row r="171" ht="19.5" customHeight="1">
      <c r="A171" s="18"/>
      <c r="B171" s="18"/>
      <c r="C171" s="18"/>
      <c r="D171" s="18"/>
      <c r="E171" s="19"/>
      <c r="F171" s="18"/>
      <c r="G171" s="18"/>
      <c r="H171" s="20"/>
      <c r="I171" s="18"/>
    </row>
    <row r="172" ht="19.5" customHeight="1">
      <c r="A172" s="18"/>
      <c r="B172" s="18"/>
      <c r="C172" s="18"/>
      <c r="D172" s="18"/>
      <c r="E172" s="19"/>
      <c r="F172" s="18"/>
      <c r="G172" s="18"/>
      <c r="H172" s="20"/>
      <c r="I172" s="18"/>
    </row>
    <row r="173" ht="19.5" customHeight="1">
      <c r="A173" s="18"/>
      <c r="B173" s="18"/>
      <c r="C173" s="18"/>
      <c r="D173" s="18"/>
      <c r="E173" s="19"/>
      <c r="F173" s="18"/>
      <c r="G173" s="18"/>
      <c r="H173" s="20"/>
      <c r="I173" s="18"/>
    </row>
    <row r="174" ht="19.5" customHeight="1">
      <c r="A174" s="18"/>
      <c r="B174" s="18"/>
      <c r="C174" s="18"/>
      <c r="D174" s="18"/>
      <c r="E174" s="19"/>
      <c r="F174" s="18"/>
      <c r="G174" s="18"/>
      <c r="H174" s="20"/>
      <c r="I174" s="18"/>
    </row>
    <row r="175" ht="19.5" customHeight="1">
      <c r="A175" s="18"/>
      <c r="B175" s="18"/>
      <c r="C175" s="18"/>
      <c r="D175" s="18"/>
      <c r="E175" s="19"/>
      <c r="F175" s="18"/>
      <c r="G175" s="18"/>
      <c r="H175" s="20"/>
      <c r="I175" s="18"/>
    </row>
    <row r="176" ht="19.5" customHeight="1">
      <c r="A176" s="18"/>
      <c r="B176" s="18"/>
      <c r="C176" s="18"/>
      <c r="D176" s="18"/>
      <c r="E176" s="19"/>
      <c r="F176" s="18"/>
      <c r="G176" s="18"/>
      <c r="H176" s="20"/>
      <c r="I176" s="18"/>
    </row>
    <row r="177" ht="19.5" customHeight="1">
      <c r="A177" s="18"/>
      <c r="B177" s="18"/>
      <c r="C177" s="18"/>
      <c r="D177" s="18"/>
      <c r="E177" s="19"/>
      <c r="F177" s="18"/>
      <c r="G177" s="18"/>
      <c r="H177" s="20"/>
      <c r="I177" s="18"/>
    </row>
    <row r="178" ht="19.5" customHeight="1">
      <c r="A178" s="18"/>
      <c r="B178" s="18"/>
      <c r="C178" s="18"/>
      <c r="D178" s="18"/>
      <c r="E178" s="19"/>
      <c r="F178" s="18"/>
      <c r="G178" s="18"/>
      <c r="H178" s="20"/>
      <c r="I178" s="18"/>
    </row>
    <row r="179" ht="19.5" customHeight="1">
      <c r="A179" s="18"/>
      <c r="B179" s="18"/>
      <c r="C179" s="18"/>
      <c r="D179" s="18"/>
      <c r="E179" s="19"/>
      <c r="F179" s="18"/>
      <c r="G179" s="18"/>
      <c r="H179" s="20"/>
      <c r="I179" s="18"/>
    </row>
    <row r="180" ht="19.5" customHeight="1">
      <c r="A180" s="18"/>
      <c r="B180" s="18"/>
      <c r="C180" s="18"/>
      <c r="D180" s="18"/>
      <c r="E180" s="19"/>
      <c r="F180" s="18"/>
      <c r="G180" s="18"/>
      <c r="H180" s="20"/>
      <c r="I180" s="18"/>
    </row>
    <row r="181" ht="19.5" customHeight="1">
      <c r="A181" s="18"/>
      <c r="B181" s="18"/>
      <c r="C181" s="18"/>
      <c r="D181" s="18"/>
      <c r="E181" s="19"/>
      <c r="F181" s="18"/>
      <c r="G181" s="18"/>
      <c r="H181" s="20"/>
      <c r="I181" s="18"/>
    </row>
    <row r="182" ht="19.5" customHeight="1">
      <c r="A182" s="18"/>
      <c r="B182" s="18"/>
      <c r="C182" s="18"/>
      <c r="D182" s="18"/>
      <c r="E182" s="19"/>
      <c r="F182" s="18"/>
      <c r="G182" s="18"/>
      <c r="H182" s="20"/>
      <c r="I182" s="18"/>
    </row>
    <row r="183" ht="19.5" customHeight="1">
      <c r="A183" s="18"/>
      <c r="B183" s="18"/>
      <c r="C183" s="18"/>
      <c r="D183" s="18"/>
      <c r="E183" s="19"/>
      <c r="F183" s="18"/>
      <c r="G183" s="18"/>
      <c r="H183" s="20"/>
      <c r="I183" s="18"/>
    </row>
    <row r="184" ht="19.5" customHeight="1">
      <c r="A184" s="18"/>
      <c r="B184" s="18"/>
      <c r="C184" s="18"/>
      <c r="D184" s="18"/>
      <c r="E184" s="19"/>
      <c r="F184" s="18"/>
      <c r="G184" s="18"/>
      <c r="H184" s="20"/>
      <c r="I184" s="18"/>
    </row>
    <row r="185" ht="19.5" customHeight="1">
      <c r="A185" s="18"/>
      <c r="B185" s="18"/>
      <c r="C185" s="18"/>
      <c r="D185" s="18"/>
      <c r="E185" s="19"/>
      <c r="F185" s="18"/>
      <c r="G185" s="18"/>
      <c r="H185" s="20"/>
      <c r="I185" s="18"/>
    </row>
    <row r="186" ht="19.5" customHeight="1">
      <c r="A186" s="18"/>
      <c r="B186" s="18"/>
      <c r="C186" s="18"/>
      <c r="D186" s="18"/>
      <c r="E186" s="19"/>
      <c r="F186" s="18"/>
      <c r="G186" s="18"/>
      <c r="H186" s="20"/>
      <c r="I186" s="18"/>
    </row>
    <row r="187" ht="19.5" customHeight="1">
      <c r="A187" s="18"/>
      <c r="B187" s="18"/>
      <c r="C187" s="18"/>
      <c r="D187" s="18"/>
      <c r="E187" s="19"/>
      <c r="F187" s="18"/>
      <c r="G187" s="18"/>
      <c r="H187" s="20"/>
      <c r="I187" s="18"/>
    </row>
    <row r="188" ht="19.5" customHeight="1">
      <c r="A188" s="18"/>
      <c r="B188" s="18"/>
      <c r="C188" s="18"/>
      <c r="D188" s="18"/>
      <c r="E188" s="19"/>
      <c r="F188" s="18"/>
      <c r="G188" s="18"/>
      <c r="H188" s="20"/>
      <c r="I188" s="18"/>
    </row>
    <row r="189" ht="19.5" customHeight="1">
      <c r="A189" s="18"/>
      <c r="B189" s="18"/>
      <c r="C189" s="18"/>
      <c r="D189" s="18"/>
      <c r="E189" s="19"/>
      <c r="F189" s="18"/>
      <c r="G189" s="18"/>
      <c r="H189" s="20"/>
      <c r="I189" s="18"/>
    </row>
    <row r="190" ht="19.5" customHeight="1">
      <c r="A190" s="18"/>
      <c r="B190" s="18"/>
      <c r="C190" s="18"/>
      <c r="D190" s="18"/>
      <c r="E190" s="19"/>
      <c r="F190" s="18"/>
      <c r="G190" s="18"/>
      <c r="H190" s="20"/>
      <c r="I190" s="18"/>
    </row>
    <row r="191" ht="19.5" customHeight="1">
      <c r="A191" s="18"/>
      <c r="B191" s="18"/>
      <c r="C191" s="18"/>
      <c r="D191" s="18"/>
      <c r="E191" s="19"/>
      <c r="F191" s="18"/>
      <c r="G191" s="18"/>
      <c r="H191" s="20"/>
      <c r="I191" s="18"/>
    </row>
    <row r="192" ht="19.5" customHeight="1">
      <c r="A192" s="18"/>
      <c r="B192" s="18"/>
      <c r="C192" s="18"/>
      <c r="D192" s="18"/>
      <c r="E192" s="19"/>
      <c r="F192" s="18"/>
      <c r="G192" s="18"/>
      <c r="H192" s="20"/>
      <c r="I192" s="18"/>
    </row>
    <row r="193" ht="19.5" customHeight="1">
      <c r="A193" s="18"/>
      <c r="B193" s="18"/>
      <c r="C193" s="18"/>
      <c r="D193" s="18"/>
      <c r="E193" s="19"/>
      <c r="F193" s="18"/>
      <c r="G193" s="18"/>
      <c r="H193" s="20"/>
      <c r="I193" s="18"/>
    </row>
    <row r="194" ht="19.5" customHeight="1">
      <c r="A194" s="18"/>
      <c r="B194" s="18"/>
      <c r="C194" s="18"/>
      <c r="D194" s="18"/>
      <c r="E194" s="19"/>
      <c r="F194" s="18"/>
      <c r="G194" s="18"/>
      <c r="H194" s="20"/>
      <c r="I194" s="18"/>
    </row>
    <row r="195" ht="19.5" customHeight="1">
      <c r="A195" s="18"/>
      <c r="B195" s="18"/>
      <c r="C195" s="18"/>
      <c r="D195" s="18"/>
      <c r="E195" s="19"/>
      <c r="F195" s="18"/>
      <c r="G195" s="18"/>
      <c r="H195" s="20"/>
      <c r="I195" s="18"/>
    </row>
    <row r="196" ht="19.5" customHeight="1">
      <c r="A196" s="18"/>
      <c r="B196" s="18"/>
      <c r="C196" s="18"/>
      <c r="D196" s="18"/>
      <c r="E196" s="19"/>
      <c r="F196" s="18"/>
      <c r="G196" s="18"/>
      <c r="H196" s="20"/>
      <c r="I196" s="18"/>
    </row>
    <row r="197" ht="19.5" customHeight="1">
      <c r="A197" s="18"/>
      <c r="B197" s="18"/>
      <c r="C197" s="18"/>
      <c r="D197" s="18"/>
      <c r="E197" s="19"/>
      <c r="F197" s="18"/>
      <c r="G197" s="18"/>
      <c r="H197" s="20"/>
      <c r="I197" s="18"/>
    </row>
    <row r="198" ht="19.5" customHeight="1">
      <c r="A198" s="18"/>
      <c r="B198" s="18"/>
      <c r="C198" s="18"/>
      <c r="D198" s="18"/>
      <c r="E198" s="19"/>
      <c r="F198" s="18"/>
      <c r="G198" s="18"/>
      <c r="H198" s="20"/>
      <c r="I198" s="18"/>
    </row>
    <row r="199" ht="19.5" customHeight="1">
      <c r="A199" s="18"/>
      <c r="B199" s="18"/>
      <c r="C199" s="18"/>
      <c r="D199" s="18"/>
      <c r="E199" s="19"/>
      <c r="F199" s="18"/>
      <c r="G199" s="18"/>
      <c r="H199" s="20"/>
      <c r="I199" s="18"/>
    </row>
    <row r="200" ht="19.5" customHeight="1">
      <c r="A200" s="18"/>
      <c r="B200" s="18"/>
      <c r="C200" s="18"/>
      <c r="D200" s="18"/>
      <c r="E200" s="19"/>
      <c r="F200" s="18"/>
      <c r="G200" s="18"/>
      <c r="H200" s="20"/>
      <c r="I200" s="18"/>
    </row>
    <row r="201" ht="19.5" customHeight="1">
      <c r="A201" s="18"/>
      <c r="B201" s="18"/>
      <c r="C201" s="18"/>
      <c r="D201" s="18"/>
      <c r="E201" s="19"/>
      <c r="F201" s="18"/>
      <c r="G201" s="18"/>
      <c r="H201" s="20"/>
      <c r="I201" s="18"/>
    </row>
    <row r="202" ht="19.5" customHeight="1">
      <c r="A202" s="18"/>
      <c r="B202" s="18"/>
      <c r="C202" s="18"/>
      <c r="D202" s="18"/>
      <c r="E202" s="19"/>
      <c r="F202" s="18"/>
      <c r="G202" s="18"/>
      <c r="H202" s="20"/>
      <c r="I202" s="18"/>
    </row>
    <row r="203" ht="19.5" customHeight="1">
      <c r="A203" s="18"/>
      <c r="B203" s="18"/>
      <c r="C203" s="18"/>
      <c r="D203" s="18"/>
      <c r="E203" s="19"/>
      <c r="F203" s="18"/>
      <c r="G203" s="18"/>
      <c r="H203" s="20"/>
      <c r="I203" s="18"/>
    </row>
    <row r="204" ht="19.5" customHeight="1">
      <c r="A204" s="18"/>
      <c r="B204" s="18"/>
      <c r="C204" s="18"/>
      <c r="D204" s="18"/>
      <c r="E204" s="19"/>
      <c r="F204" s="18"/>
      <c r="G204" s="18"/>
      <c r="H204" s="20"/>
      <c r="I204" s="18"/>
    </row>
    <row r="205" ht="19.5" customHeight="1">
      <c r="A205" s="18"/>
      <c r="B205" s="18"/>
      <c r="C205" s="18"/>
      <c r="D205" s="18"/>
      <c r="E205" s="19"/>
      <c r="F205" s="18"/>
      <c r="G205" s="18"/>
      <c r="H205" s="20"/>
      <c r="I205" s="18"/>
    </row>
    <row r="206" ht="19.5" customHeight="1">
      <c r="A206" s="18"/>
      <c r="B206" s="18"/>
      <c r="C206" s="18"/>
      <c r="D206" s="18"/>
      <c r="E206" s="19"/>
      <c r="F206" s="18"/>
      <c r="G206" s="18"/>
      <c r="H206" s="20"/>
      <c r="I206" s="18"/>
    </row>
    <row r="207" ht="19.5" customHeight="1">
      <c r="A207" s="18"/>
      <c r="B207" s="18"/>
      <c r="C207" s="18"/>
      <c r="D207" s="18"/>
      <c r="E207" s="19"/>
      <c r="F207" s="18"/>
      <c r="G207" s="18"/>
      <c r="H207" s="20"/>
      <c r="I207" s="18"/>
    </row>
    <row r="208" ht="19.5" customHeight="1">
      <c r="A208" s="18"/>
      <c r="B208" s="18"/>
      <c r="C208" s="18"/>
      <c r="D208" s="18"/>
      <c r="E208" s="19"/>
      <c r="F208" s="18"/>
      <c r="G208" s="18"/>
      <c r="H208" s="20"/>
      <c r="I208" s="18"/>
    </row>
    <row r="209" ht="19.5" customHeight="1">
      <c r="A209" s="18"/>
      <c r="B209" s="18"/>
      <c r="C209" s="18"/>
      <c r="D209" s="18"/>
      <c r="E209" s="19"/>
      <c r="F209" s="18"/>
      <c r="G209" s="18"/>
      <c r="H209" s="20"/>
      <c r="I209" s="18"/>
    </row>
    <row r="210" ht="19.5" customHeight="1">
      <c r="A210" s="18"/>
      <c r="B210" s="18"/>
      <c r="C210" s="18"/>
      <c r="D210" s="18"/>
      <c r="E210" s="19"/>
      <c r="F210" s="18"/>
      <c r="G210" s="18"/>
      <c r="H210" s="20"/>
      <c r="I210" s="18"/>
    </row>
    <row r="211" ht="19.5" customHeight="1">
      <c r="A211" s="18"/>
      <c r="B211" s="18"/>
      <c r="C211" s="18"/>
      <c r="D211" s="18"/>
      <c r="E211" s="19"/>
      <c r="F211" s="18"/>
      <c r="G211" s="18"/>
      <c r="H211" s="20"/>
      <c r="I211" s="18"/>
    </row>
    <row r="212" ht="19.5" customHeight="1">
      <c r="A212" s="18"/>
      <c r="B212" s="18"/>
      <c r="C212" s="18"/>
      <c r="D212" s="18"/>
      <c r="E212" s="19"/>
      <c r="F212" s="18"/>
      <c r="G212" s="18"/>
      <c r="H212" s="20"/>
      <c r="I212" s="18"/>
    </row>
    <row r="213" ht="19.5" customHeight="1">
      <c r="A213" s="18"/>
      <c r="B213" s="18"/>
      <c r="C213" s="18"/>
      <c r="D213" s="18"/>
      <c r="E213" s="19"/>
      <c r="F213" s="18"/>
      <c r="G213" s="18"/>
      <c r="H213" s="20"/>
      <c r="I213" s="18"/>
    </row>
    <row r="214" ht="19.5" customHeight="1">
      <c r="A214" s="18"/>
      <c r="B214" s="18"/>
      <c r="C214" s="18"/>
      <c r="D214" s="18"/>
      <c r="E214" s="19"/>
      <c r="F214" s="18"/>
      <c r="G214" s="18"/>
      <c r="H214" s="20"/>
      <c r="I214" s="18"/>
    </row>
    <row r="215" ht="19.5" customHeight="1">
      <c r="A215" s="18"/>
      <c r="B215" s="18"/>
      <c r="C215" s="18"/>
      <c r="D215" s="18"/>
      <c r="E215" s="19"/>
      <c r="F215" s="18"/>
      <c r="G215" s="18"/>
      <c r="H215" s="20"/>
      <c r="I215" s="18"/>
    </row>
    <row r="216" ht="19.5" customHeight="1">
      <c r="A216" s="18"/>
      <c r="B216" s="18"/>
      <c r="C216" s="18"/>
      <c r="D216" s="18"/>
      <c r="E216" s="19"/>
      <c r="F216" s="18"/>
      <c r="G216" s="18"/>
      <c r="H216" s="20"/>
      <c r="I216" s="18"/>
    </row>
    <row r="217" ht="19.5" customHeight="1">
      <c r="A217" s="18"/>
      <c r="B217" s="18"/>
      <c r="C217" s="18"/>
      <c r="D217" s="18"/>
      <c r="E217" s="19"/>
      <c r="F217" s="18"/>
      <c r="G217" s="18"/>
      <c r="H217" s="20"/>
      <c r="I217" s="18"/>
    </row>
    <row r="218" ht="19.5" customHeight="1">
      <c r="A218" s="18"/>
      <c r="B218" s="18"/>
      <c r="C218" s="18"/>
      <c r="D218" s="18"/>
      <c r="E218" s="19"/>
      <c r="F218" s="18"/>
      <c r="G218" s="18"/>
      <c r="H218" s="20"/>
      <c r="I218" s="18"/>
    </row>
    <row r="219" ht="19.5" customHeight="1">
      <c r="A219" s="18"/>
      <c r="B219" s="18"/>
      <c r="C219" s="18"/>
      <c r="D219" s="18"/>
      <c r="E219" s="19"/>
      <c r="F219" s="18"/>
      <c r="G219" s="18"/>
      <c r="H219" s="20"/>
      <c r="I219" s="18"/>
    </row>
    <row r="220" ht="19.5" customHeight="1">
      <c r="A220" s="18"/>
      <c r="B220" s="18"/>
      <c r="C220" s="18"/>
      <c r="D220" s="18"/>
      <c r="E220" s="19"/>
      <c r="F220" s="18"/>
      <c r="G220" s="18"/>
      <c r="H220" s="20"/>
      <c r="I220" s="18"/>
    </row>
    <row r="221" ht="15.75" customHeight="1">
      <c r="F221" s="21"/>
    </row>
    <row r="222" ht="15.75" customHeight="1">
      <c r="F222" s="21"/>
    </row>
    <row r="223" ht="15.75" customHeight="1">
      <c r="F223" s="21"/>
    </row>
    <row r="224" ht="15.75" customHeight="1">
      <c r="F224" s="21"/>
    </row>
    <row r="225" ht="15.75" customHeight="1">
      <c r="F225" s="21"/>
    </row>
    <row r="226" ht="15.75" customHeight="1">
      <c r="F226" s="21"/>
    </row>
    <row r="227" ht="15.75" customHeight="1">
      <c r="F227" s="21"/>
    </row>
    <row r="228" ht="15.75" customHeight="1">
      <c r="F228" s="21"/>
    </row>
    <row r="229" ht="15.75" customHeight="1">
      <c r="F229" s="21"/>
    </row>
    <row r="230" ht="15.75" customHeight="1">
      <c r="F230" s="21"/>
    </row>
    <row r="231" ht="15.75" customHeight="1">
      <c r="F231" s="21"/>
    </row>
    <row r="232" ht="15.75" customHeight="1">
      <c r="F232" s="21"/>
    </row>
    <row r="233" ht="15.75" customHeight="1">
      <c r="F233" s="21"/>
    </row>
    <row r="234" ht="15.75" customHeight="1">
      <c r="F234" s="21"/>
    </row>
    <row r="235" ht="15.75" customHeight="1">
      <c r="F235" s="21"/>
    </row>
    <row r="236" ht="15.75" customHeight="1">
      <c r="F236" s="21"/>
    </row>
    <row r="237" ht="15.75" customHeight="1">
      <c r="F237" s="21"/>
    </row>
    <row r="238" ht="15.75" customHeight="1">
      <c r="F238" s="21"/>
    </row>
    <row r="239" ht="15.75" customHeight="1">
      <c r="F239" s="21"/>
    </row>
    <row r="240" ht="15.75" customHeight="1">
      <c r="F240" s="21"/>
    </row>
    <row r="241" ht="15.75" customHeight="1">
      <c r="F241" s="21"/>
    </row>
    <row r="242" ht="15.75" customHeight="1">
      <c r="F242" s="21"/>
    </row>
    <row r="243" ht="15.75" customHeight="1">
      <c r="F243" s="21"/>
    </row>
    <row r="244" ht="15.75" customHeight="1">
      <c r="F244" s="21"/>
    </row>
    <row r="245" ht="15.75" customHeight="1">
      <c r="F245" s="21"/>
    </row>
    <row r="246" ht="15.75" customHeight="1">
      <c r="F246" s="21"/>
    </row>
    <row r="247" ht="15.75" customHeight="1">
      <c r="F247" s="21"/>
    </row>
    <row r="248" ht="15.75" customHeight="1">
      <c r="F248" s="21"/>
    </row>
    <row r="249" ht="15.75" customHeight="1">
      <c r="F249" s="21"/>
    </row>
    <row r="250" ht="15.75" customHeight="1">
      <c r="F250" s="21"/>
    </row>
    <row r="251" ht="15.75" customHeight="1">
      <c r="F251" s="21"/>
    </row>
    <row r="252" ht="15.75" customHeight="1">
      <c r="F252" s="21"/>
    </row>
    <row r="253" ht="15.75" customHeight="1">
      <c r="F253" s="21"/>
    </row>
    <row r="254" ht="15.75" customHeight="1">
      <c r="F254" s="21"/>
    </row>
    <row r="255" ht="15.75" customHeight="1">
      <c r="F255" s="21"/>
    </row>
    <row r="256" ht="15.75" customHeight="1">
      <c r="F256" s="21"/>
    </row>
    <row r="257" ht="15.75" customHeight="1">
      <c r="F257" s="21"/>
    </row>
    <row r="258" ht="15.75" customHeight="1">
      <c r="F258" s="21"/>
    </row>
    <row r="259" ht="15.75" customHeight="1">
      <c r="F259" s="21"/>
    </row>
    <row r="260" ht="15.75" customHeight="1">
      <c r="F260" s="21"/>
    </row>
    <row r="261" ht="15.75" customHeight="1">
      <c r="F261" s="21"/>
    </row>
    <row r="262" ht="15.75" customHeight="1">
      <c r="F262" s="21"/>
    </row>
    <row r="263" ht="15.75" customHeight="1">
      <c r="F263" s="21"/>
    </row>
    <row r="264" ht="15.75" customHeight="1">
      <c r="F264" s="21"/>
    </row>
    <row r="265" ht="15.75" customHeight="1">
      <c r="F265" s="21"/>
    </row>
    <row r="266" ht="15.75" customHeight="1">
      <c r="F266" s="21"/>
    </row>
    <row r="267" ht="15.75" customHeight="1">
      <c r="F267" s="21"/>
    </row>
    <row r="268" ht="15.75" customHeight="1">
      <c r="F268" s="21"/>
    </row>
    <row r="269" ht="15.75" customHeight="1">
      <c r="F269" s="21"/>
    </row>
    <row r="270" ht="15.75" customHeight="1">
      <c r="F270" s="21"/>
    </row>
    <row r="271" ht="15.75" customHeight="1">
      <c r="F271" s="21"/>
    </row>
    <row r="272" ht="15.75" customHeight="1">
      <c r="F272" s="21"/>
    </row>
    <row r="273" ht="15.75" customHeight="1">
      <c r="F273" s="21"/>
    </row>
    <row r="274" ht="15.75" customHeight="1">
      <c r="F274" s="21"/>
    </row>
    <row r="275" ht="15.75" customHeight="1">
      <c r="F275" s="21"/>
    </row>
    <row r="276" ht="15.75" customHeight="1">
      <c r="F276" s="21"/>
    </row>
    <row r="277" ht="15.75" customHeight="1">
      <c r="F277" s="21"/>
    </row>
    <row r="278" ht="15.75" customHeight="1">
      <c r="F278" s="21"/>
    </row>
    <row r="279" ht="15.75" customHeight="1">
      <c r="F279" s="21"/>
    </row>
    <row r="280" ht="15.75" customHeight="1">
      <c r="F280" s="21"/>
    </row>
    <row r="281" ht="15.75" customHeight="1">
      <c r="F281" s="21"/>
    </row>
    <row r="282" ht="15.75" customHeight="1">
      <c r="F282" s="21"/>
    </row>
    <row r="283" ht="15.75" customHeight="1">
      <c r="F283" s="21"/>
    </row>
    <row r="284" ht="15.75" customHeight="1">
      <c r="F284" s="21"/>
    </row>
    <row r="285" ht="15.75" customHeight="1">
      <c r="F285" s="21"/>
    </row>
    <row r="286" ht="15.75" customHeight="1">
      <c r="F286" s="21"/>
    </row>
    <row r="287" ht="15.75" customHeight="1">
      <c r="F287" s="21"/>
    </row>
    <row r="288" ht="15.75" customHeight="1">
      <c r="F288" s="21"/>
    </row>
    <row r="289" ht="15.75" customHeight="1">
      <c r="F289" s="21"/>
    </row>
    <row r="290" ht="15.75" customHeight="1">
      <c r="F290" s="21"/>
    </row>
    <row r="291" ht="15.75" customHeight="1">
      <c r="F291" s="21"/>
    </row>
    <row r="292" ht="15.75" customHeight="1">
      <c r="F292" s="21"/>
    </row>
    <row r="293" ht="15.75" customHeight="1">
      <c r="F293" s="21"/>
    </row>
    <row r="294" ht="15.75" customHeight="1">
      <c r="F294" s="21"/>
    </row>
    <row r="295" ht="15.75" customHeight="1">
      <c r="F295" s="21"/>
    </row>
    <row r="296" ht="15.75" customHeight="1">
      <c r="F296" s="21"/>
    </row>
    <row r="297" ht="15.75" customHeight="1">
      <c r="F297" s="21"/>
    </row>
    <row r="298" ht="15.75" customHeight="1">
      <c r="F298" s="21"/>
    </row>
    <row r="299" ht="15.75" customHeight="1">
      <c r="F299" s="21"/>
    </row>
    <row r="300" ht="15.75" customHeight="1">
      <c r="F300" s="21"/>
    </row>
    <row r="301" ht="15.75" customHeight="1">
      <c r="F301" s="21"/>
    </row>
    <row r="302" ht="15.75" customHeight="1">
      <c r="F302" s="21"/>
    </row>
    <row r="303" ht="15.75" customHeight="1">
      <c r="F303" s="21"/>
    </row>
    <row r="304" ht="15.75" customHeight="1">
      <c r="F304" s="21"/>
    </row>
    <row r="305" ht="15.75" customHeight="1">
      <c r="F305" s="21"/>
    </row>
    <row r="306" ht="15.75" customHeight="1">
      <c r="F306" s="21"/>
    </row>
    <row r="307" ht="15.75" customHeight="1">
      <c r="F307" s="21"/>
    </row>
    <row r="308" ht="15.75" customHeight="1">
      <c r="F308" s="21"/>
    </row>
    <row r="309" ht="15.75" customHeight="1">
      <c r="F309" s="21"/>
    </row>
    <row r="310" ht="15.75" customHeight="1">
      <c r="F310" s="21"/>
    </row>
    <row r="311" ht="15.75" customHeight="1">
      <c r="F311" s="21"/>
    </row>
    <row r="312" ht="15.75" customHeight="1">
      <c r="F312" s="21"/>
    </row>
    <row r="313" ht="15.75" customHeight="1">
      <c r="F313" s="21"/>
    </row>
    <row r="314" ht="15.75" customHeight="1">
      <c r="F314" s="21"/>
    </row>
    <row r="315" ht="15.75" customHeight="1">
      <c r="F315" s="21"/>
    </row>
    <row r="316" ht="15.75" customHeight="1">
      <c r="F316" s="21"/>
    </row>
    <row r="317" ht="15.75" customHeight="1">
      <c r="F317" s="21"/>
    </row>
    <row r="318" ht="15.75" customHeight="1">
      <c r="F318" s="21"/>
    </row>
    <row r="319" ht="15.75" customHeight="1">
      <c r="F319" s="21"/>
    </row>
    <row r="320" ht="15.75" customHeight="1">
      <c r="F320" s="21"/>
    </row>
    <row r="321" ht="15.75" customHeight="1">
      <c r="F321" s="21"/>
    </row>
    <row r="322" ht="15.75" customHeight="1">
      <c r="F322" s="21"/>
    </row>
    <row r="323" ht="15.75" customHeight="1">
      <c r="F323" s="21"/>
    </row>
    <row r="324" ht="15.75" customHeight="1">
      <c r="F324" s="21"/>
    </row>
    <row r="325" ht="15.75" customHeight="1">
      <c r="F325" s="21"/>
    </row>
    <row r="326" ht="15.75" customHeight="1">
      <c r="F326" s="21"/>
    </row>
    <row r="327" ht="15.75" customHeight="1">
      <c r="F327" s="21"/>
    </row>
    <row r="328" ht="15.75" customHeight="1">
      <c r="F328" s="21"/>
    </row>
    <row r="329" ht="15.75" customHeight="1">
      <c r="F329" s="21"/>
    </row>
    <row r="330" ht="15.75" customHeight="1">
      <c r="F330" s="21"/>
    </row>
    <row r="331" ht="15.75" customHeight="1">
      <c r="F331" s="21"/>
    </row>
    <row r="332" ht="15.75" customHeight="1">
      <c r="F332" s="21"/>
    </row>
    <row r="333" ht="15.75" customHeight="1">
      <c r="F333" s="21"/>
    </row>
    <row r="334" ht="15.75" customHeight="1">
      <c r="F334" s="21"/>
    </row>
    <row r="335" ht="15.75" customHeight="1">
      <c r="F335" s="21"/>
    </row>
    <row r="336" ht="15.75" customHeight="1">
      <c r="F336" s="21"/>
    </row>
    <row r="337" ht="15.75" customHeight="1">
      <c r="F337" s="21"/>
    </row>
    <row r="338" ht="15.75" customHeight="1">
      <c r="F338" s="21"/>
    </row>
    <row r="339" ht="15.75" customHeight="1">
      <c r="F339" s="21"/>
    </row>
    <row r="340" ht="15.75" customHeight="1">
      <c r="F340" s="21"/>
    </row>
    <row r="341" ht="15.75" customHeight="1">
      <c r="F341" s="21"/>
    </row>
    <row r="342" ht="15.75" customHeight="1">
      <c r="F342" s="21"/>
    </row>
    <row r="343" ht="15.75" customHeight="1">
      <c r="F343" s="21"/>
    </row>
    <row r="344" ht="15.75" customHeight="1">
      <c r="F344" s="21"/>
    </row>
    <row r="345" ht="15.75" customHeight="1">
      <c r="F345" s="21"/>
    </row>
    <row r="346" ht="15.75" customHeight="1">
      <c r="F346" s="21"/>
    </row>
    <row r="347" ht="15.75" customHeight="1">
      <c r="F347" s="21"/>
    </row>
    <row r="348" ht="15.75" customHeight="1">
      <c r="F348" s="21"/>
    </row>
    <row r="349" ht="15.75" customHeight="1">
      <c r="F349" s="21"/>
    </row>
    <row r="350" ht="15.75" customHeight="1">
      <c r="F350" s="21"/>
    </row>
    <row r="351" ht="15.75" customHeight="1">
      <c r="F351" s="21"/>
    </row>
    <row r="352" ht="15.75" customHeight="1">
      <c r="F352" s="21"/>
    </row>
    <row r="353" ht="15.75" customHeight="1">
      <c r="F353" s="21"/>
    </row>
    <row r="354" ht="15.75" customHeight="1">
      <c r="F354" s="21"/>
    </row>
    <row r="355" ht="15.75" customHeight="1">
      <c r="F355" s="21"/>
    </row>
    <row r="356" ht="15.75" customHeight="1">
      <c r="F356" s="21"/>
    </row>
    <row r="357" ht="15.75" customHeight="1">
      <c r="F357" s="21"/>
    </row>
    <row r="358" ht="15.75" customHeight="1">
      <c r="F358" s="21"/>
    </row>
    <row r="359" ht="15.75" customHeight="1">
      <c r="F359" s="21"/>
    </row>
    <row r="360" ht="15.75" customHeight="1">
      <c r="F360" s="21"/>
    </row>
    <row r="361" ht="15.75" customHeight="1">
      <c r="F361" s="21"/>
    </row>
    <row r="362" ht="15.75" customHeight="1">
      <c r="F362" s="21"/>
    </row>
    <row r="363" ht="15.75" customHeight="1">
      <c r="F363" s="21"/>
    </row>
    <row r="364" ht="15.75" customHeight="1">
      <c r="F364" s="21"/>
    </row>
    <row r="365" ht="15.75" customHeight="1">
      <c r="F365" s="21"/>
    </row>
    <row r="366" ht="15.75" customHeight="1">
      <c r="F366" s="21"/>
    </row>
    <row r="367" ht="15.75" customHeight="1">
      <c r="F367" s="21"/>
    </row>
    <row r="368" ht="15.75" customHeight="1">
      <c r="F368" s="21"/>
    </row>
    <row r="369" ht="15.75" customHeight="1">
      <c r="F369" s="21"/>
    </row>
    <row r="370" ht="15.75" customHeight="1">
      <c r="F370" s="21"/>
    </row>
    <row r="371" ht="15.75" customHeight="1">
      <c r="F371" s="21"/>
    </row>
    <row r="372" ht="15.75" customHeight="1">
      <c r="F372" s="21"/>
    </row>
    <row r="373" ht="15.75" customHeight="1">
      <c r="F373" s="21"/>
    </row>
    <row r="374" ht="15.75" customHeight="1">
      <c r="F374" s="21"/>
    </row>
    <row r="375" ht="15.75" customHeight="1">
      <c r="F375" s="21"/>
    </row>
    <row r="376" ht="15.75" customHeight="1">
      <c r="F376" s="21"/>
    </row>
    <row r="377" ht="15.75" customHeight="1">
      <c r="F377" s="21"/>
    </row>
    <row r="378" ht="15.75" customHeight="1">
      <c r="F378" s="21"/>
    </row>
    <row r="379" ht="15.75" customHeight="1">
      <c r="F379" s="21"/>
    </row>
    <row r="380" ht="15.75" customHeight="1">
      <c r="F380" s="21"/>
    </row>
    <row r="381" ht="15.75" customHeight="1">
      <c r="F381" s="21"/>
    </row>
    <row r="382" ht="15.75" customHeight="1">
      <c r="F382" s="21"/>
    </row>
    <row r="383" ht="15.75" customHeight="1">
      <c r="F383" s="21"/>
    </row>
    <row r="384" ht="15.75" customHeight="1">
      <c r="F384" s="21"/>
    </row>
    <row r="385" ht="15.75" customHeight="1">
      <c r="F385" s="21"/>
    </row>
    <row r="386" ht="15.75" customHeight="1">
      <c r="F386" s="21"/>
    </row>
    <row r="387" ht="15.75" customHeight="1">
      <c r="F387" s="21"/>
    </row>
    <row r="388" ht="15.75" customHeight="1">
      <c r="F388" s="21"/>
    </row>
    <row r="389" ht="15.75" customHeight="1">
      <c r="F389" s="21"/>
    </row>
    <row r="390" ht="15.75" customHeight="1">
      <c r="F390" s="21"/>
    </row>
    <row r="391" ht="15.75" customHeight="1">
      <c r="F391" s="21"/>
    </row>
    <row r="392" ht="15.75" customHeight="1">
      <c r="F392" s="21"/>
    </row>
    <row r="393" ht="15.75" customHeight="1">
      <c r="F393" s="21"/>
    </row>
    <row r="394" ht="15.75" customHeight="1">
      <c r="F394" s="21"/>
    </row>
    <row r="395" ht="15.75" customHeight="1">
      <c r="F395" s="21"/>
    </row>
    <row r="396" ht="15.75" customHeight="1">
      <c r="F396" s="21"/>
    </row>
    <row r="397" ht="15.75" customHeight="1">
      <c r="F397" s="21"/>
    </row>
    <row r="398" ht="15.75" customHeight="1">
      <c r="F398" s="21"/>
    </row>
    <row r="399" ht="15.75" customHeight="1">
      <c r="F399" s="21"/>
    </row>
    <row r="400" ht="15.75" customHeight="1">
      <c r="F400" s="21"/>
    </row>
    <row r="401" ht="15.75" customHeight="1">
      <c r="F401" s="21"/>
    </row>
    <row r="402" ht="15.75" customHeight="1">
      <c r="F402" s="21"/>
    </row>
    <row r="403" ht="15.75" customHeight="1">
      <c r="F403" s="21"/>
    </row>
    <row r="404" ht="15.75" customHeight="1">
      <c r="F404" s="21"/>
    </row>
    <row r="405" ht="15.75" customHeight="1">
      <c r="F405" s="21"/>
    </row>
    <row r="406" ht="15.75" customHeight="1">
      <c r="F406" s="21"/>
    </row>
    <row r="407" ht="15.75" customHeight="1">
      <c r="F407" s="21"/>
    </row>
    <row r="408" ht="15.75" customHeight="1">
      <c r="F408" s="21"/>
    </row>
    <row r="409" ht="15.75" customHeight="1">
      <c r="F409" s="21"/>
    </row>
    <row r="410" ht="15.75" customHeight="1">
      <c r="F410" s="21"/>
    </row>
    <row r="411" ht="15.75" customHeight="1">
      <c r="F411" s="21"/>
    </row>
    <row r="412" ht="15.75" customHeight="1">
      <c r="F412" s="21"/>
    </row>
    <row r="413" ht="15.75" customHeight="1">
      <c r="F413" s="21"/>
    </row>
    <row r="414" ht="15.75" customHeight="1">
      <c r="F414" s="21"/>
    </row>
    <row r="415" ht="15.75" customHeight="1">
      <c r="F415" s="21"/>
    </row>
    <row r="416" ht="15.75" customHeight="1">
      <c r="F416" s="21"/>
    </row>
    <row r="417" ht="15.75" customHeight="1">
      <c r="F417" s="21"/>
    </row>
    <row r="418" ht="15.75" customHeight="1">
      <c r="F418" s="21"/>
    </row>
    <row r="419" ht="15.75" customHeight="1">
      <c r="F419" s="21"/>
    </row>
    <row r="420" ht="15.75" customHeight="1">
      <c r="F420" s="21"/>
    </row>
    <row r="421" ht="15.75" customHeight="1">
      <c r="F421" s="21"/>
    </row>
    <row r="422" ht="15.75" customHeight="1">
      <c r="F422" s="21"/>
    </row>
    <row r="423" ht="15.75" customHeight="1">
      <c r="F423" s="21"/>
    </row>
    <row r="424" ht="15.75" customHeight="1">
      <c r="F424" s="21"/>
    </row>
    <row r="425" ht="15.75" customHeight="1">
      <c r="F425" s="21"/>
    </row>
    <row r="426" ht="15.75" customHeight="1">
      <c r="F426" s="21"/>
    </row>
    <row r="427" ht="15.75" customHeight="1">
      <c r="F427" s="21"/>
    </row>
    <row r="428" ht="15.75" customHeight="1">
      <c r="F428" s="21"/>
    </row>
    <row r="429" ht="15.75" customHeight="1">
      <c r="F429" s="21"/>
    </row>
    <row r="430" ht="15.75" customHeight="1">
      <c r="F430" s="21"/>
    </row>
    <row r="431" ht="15.75" customHeight="1">
      <c r="F431" s="21"/>
    </row>
    <row r="432" ht="15.75" customHeight="1">
      <c r="F432" s="21"/>
    </row>
    <row r="433" ht="15.75" customHeight="1">
      <c r="F433" s="21"/>
    </row>
    <row r="434" ht="15.75" customHeight="1">
      <c r="F434" s="21"/>
    </row>
    <row r="435" ht="15.75" customHeight="1">
      <c r="F435" s="21"/>
    </row>
    <row r="436" ht="15.75" customHeight="1">
      <c r="F436" s="21"/>
    </row>
    <row r="437" ht="15.75" customHeight="1">
      <c r="F437" s="21"/>
    </row>
    <row r="438" ht="15.75" customHeight="1">
      <c r="F438" s="21"/>
    </row>
    <row r="439" ht="15.75" customHeight="1">
      <c r="F439" s="21"/>
    </row>
    <row r="440" ht="15.75" customHeight="1">
      <c r="F440" s="21"/>
    </row>
    <row r="441" ht="15.75" customHeight="1">
      <c r="F441" s="21"/>
    </row>
    <row r="442" ht="15.75" customHeight="1">
      <c r="F442" s="21"/>
    </row>
    <row r="443" ht="15.75" customHeight="1">
      <c r="F443" s="21"/>
    </row>
    <row r="444" ht="15.75" customHeight="1">
      <c r="F444" s="21"/>
    </row>
    <row r="445" ht="15.75" customHeight="1">
      <c r="F445" s="21"/>
    </row>
    <row r="446" ht="15.75" customHeight="1">
      <c r="F446" s="21"/>
    </row>
    <row r="447" ht="15.75" customHeight="1">
      <c r="F447" s="21"/>
    </row>
    <row r="448" ht="15.75" customHeight="1">
      <c r="F448" s="21"/>
    </row>
    <row r="449" ht="15.75" customHeight="1">
      <c r="F449" s="21"/>
    </row>
    <row r="450" ht="15.75" customHeight="1">
      <c r="F450" s="21"/>
    </row>
    <row r="451" ht="15.75" customHeight="1">
      <c r="F451" s="21"/>
    </row>
    <row r="452" ht="15.75" customHeight="1">
      <c r="F452" s="21"/>
    </row>
    <row r="453" ht="15.75" customHeight="1">
      <c r="F453" s="21"/>
    </row>
    <row r="454" ht="15.75" customHeight="1">
      <c r="F454" s="21"/>
    </row>
    <row r="455" ht="15.75" customHeight="1">
      <c r="F455" s="21"/>
    </row>
    <row r="456" ht="15.75" customHeight="1">
      <c r="F456" s="21"/>
    </row>
    <row r="457" ht="15.75" customHeight="1">
      <c r="F457" s="21"/>
    </row>
    <row r="458" ht="15.75" customHeight="1">
      <c r="F458" s="21"/>
    </row>
    <row r="459" ht="15.75" customHeight="1">
      <c r="F459" s="21"/>
    </row>
    <row r="460" ht="15.75" customHeight="1">
      <c r="F460" s="21"/>
    </row>
    <row r="461" ht="15.75" customHeight="1">
      <c r="F461" s="21"/>
    </row>
    <row r="462" ht="15.75" customHeight="1">
      <c r="F462" s="21"/>
    </row>
    <row r="463" ht="15.75" customHeight="1">
      <c r="F463" s="21"/>
    </row>
    <row r="464" ht="15.75" customHeight="1">
      <c r="F464" s="21"/>
    </row>
    <row r="465" ht="15.75" customHeight="1">
      <c r="F465" s="21"/>
    </row>
    <row r="466" ht="15.75" customHeight="1">
      <c r="F466" s="21"/>
    </row>
    <row r="467" ht="15.75" customHeight="1">
      <c r="F467" s="21"/>
    </row>
    <row r="468" ht="15.75" customHeight="1">
      <c r="F468" s="21"/>
    </row>
    <row r="469" ht="15.75" customHeight="1">
      <c r="F469" s="21"/>
    </row>
    <row r="470" ht="15.75" customHeight="1">
      <c r="F470" s="21"/>
    </row>
    <row r="471" ht="15.75" customHeight="1">
      <c r="F471" s="21"/>
    </row>
    <row r="472" ht="15.75" customHeight="1">
      <c r="F472" s="21"/>
    </row>
    <row r="473" ht="15.75" customHeight="1">
      <c r="F473" s="21"/>
    </row>
    <row r="474" ht="15.75" customHeight="1">
      <c r="F474" s="21"/>
    </row>
    <row r="475" ht="15.75" customHeight="1">
      <c r="F475" s="21"/>
    </row>
    <row r="476" ht="15.75" customHeight="1">
      <c r="F476" s="21"/>
    </row>
    <row r="477" ht="15.75" customHeight="1">
      <c r="F477" s="21"/>
    </row>
    <row r="478" ht="15.75" customHeight="1">
      <c r="F478" s="21"/>
    </row>
    <row r="479" ht="15.75" customHeight="1">
      <c r="F479" s="21"/>
    </row>
    <row r="480" ht="15.75" customHeight="1">
      <c r="F480" s="21"/>
    </row>
    <row r="481" ht="15.75" customHeight="1">
      <c r="F481" s="21"/>
    </row>
    <row r="482" ht="15.75" customHeight="1">
      <c r="F482" s="21"/>
    </row>
    <row r="483" ht="15.75" customHeight="1">
      <c r="F483" s="21"/>
    </row>
    <row r="484" ht="15.75" customHeight="1">
      <c r="F484" s="21"/>
    </row>
    <row r="485" ht="15.75" customHeight="1">
      <c r="F485" s="21"/>
    </row>
    <row r="486" ht="15.75" customHeight="1">
      <c r="F486" s="21"/>
    </row>
    <row r="487" ht="15.75" customHeight="1">
      <c r="F487" s="21"/>
    </row>
    <row r="488" ht="15.75" customHeight="1">
      <c r="F488" s="21"/>
    </row>
    <row r="489" ht="15.75" customHeight="1">
      <c r="F489" s="21"/>
    </row>
    <row r="490" ht="15.75" customHeight="1">
      <c r="F490" s="21"/>
    </row>
    <row r="491" ht="15.75" customHeight="1">
      <c r="F491" s="21"/>
    </row>
    <row r="492" ht="15.75" customHeight="1">
      <c r="F492" s="21"/>
    </row>
    <row r="493" ht="15.75" customHeight="1">
      <c r="F493" s="21"/>
    </row>
    <row r="494" ht="15.75" customHeight="1">
      <c r="F494" s="21"/>
    </row>
    <row r="495" ht="15.75" customHeight="1">
      <c r="F495" s="21"/>
    </row>
    <row r="496" ht="15.75" customHeight="1">
      <c r="F496" s="21"/>
    </row>
    <row r="497" ht="15.75" customHeight="1">
      <c r="F497" s="21"/>
    </row>
    <row r="498" ht="15.75" customHeight="1">
      <c r="F498" s="21"/>
    </row>
    <row r="499" ht="15.75" customHeight="1">
      <c r="F499" s="21"/>
    </row>
    <row r="500" ht="15.75" customHeight="1">
      <c r="F500" s="21"/>
    </row>
    <row r="501" ht="15.75" customHeight="1">
      <c r="F501" s="21"/>
    </row>
    <row r="502" ht="15.75" customHeight="1">
      <c r="F502" s="21"/>
    </row>
    <row r="503" ht="15.75" customHeight="1">
      <c r="F503" s="21"/>
    </row>
    <row r="504" ht="15.75" customHeight="1">
      <c r="F504" s="21"/>
    </row>
    <row r="505" ht="15.75" customHeight="1">
      <c r="F505" s="21"/>
    </row>
    <row r="506" ht="15.75" customHeight="1">
      <c r="F506" s="21"/>
    </row>
    <row r="507" ht="15.75" customHeight="1">
      <c r="F507" s="21"/>
    </row>
    <row r="508" ht="15.75" customHeight="1">
      <c r="F508" s="21"/>
    </row>
    <row r="509" ht="15.75" customHeight="1">
      <c r="F509" s="21"/>
    </row>
    <row r="510" ht="15.75" customHeight="1">
      <c r="F510" s="21"/>
    </row>
    <row r="511" ht="15.75" customHeight="1">
      <c r="F511" s="21"/>
    </row>
    <row r="512" ht="15.75" customHeight="1">
      <c r="F512" s="21"/>
    </row>
    <row r="513" ht="15.75" customHeight="1">
      <c r="F513" s="21"/>
    </row>
    <row r="514" ht="15.75" customHeight="1">
      <c r="F514" s="21"/>
    </row>
    <row r="515" ht="15.75" customHeight="1">
      <c r="F515" s="21"/>
    </row>
    <row r="516" ht="15.75" customHeight="1">
      <c r="F516" s="21"/>
    </row>
    <row r="517" ht="15.75" customHeight="1">
      <c r="F517" s="21"/>
    </row>
    <row r="518" ht="15.75" customHeight="1">
      <c r="F518" s="21"/>
    </row>
    <row r="519" ht="15.75" customHeight="1">
      <c r="F519" s="21"/>
    </row>
    <row r="520" ht="15.75" customHeight="1">
      <c r="F520" s="21"/>
    </row>
    <row r="521" ht="15.75" customHeight="1">
      <c r="F521" s="21"/>
    </row>
    <row r="522" ht="15.75" customHeight="1">
      <c r="F522" s="21"/>
    </row>
    <row r="523" ht="15.75" customHeight="1">
      <c r="F523" s="21"/>
    </row>
    <row r="524" ht="15.75" customHeight="1">
      <c r="F524" s="21"/>
    </row>
    <row r="525" ht="15.75" customHeight="1">
      <c r="F525" s="21"/>
    </row>
    <row r="526" ht="15.75" customHeight="1">
      <c r="F526" s="21"/>
    </row>
    <row r="527" ht="15.75" customHeight="1">
      <c r="F527" s="21"/>
    </row>
    <row r="528" ht="15.75" customHeight="1">
      <c r="F528" s="21"/>
    </row>
    <row r="529" ht="15.75" customHeight="1">
      <c r="F529" s="21"/>
    </row>
    <row r="530" ht="15.75" customHeight="1">
      <c r="F530" s="21"/>
    </row>
    <row r="531" ht="15.75" customHeight="1">
      <c r="F531" s="21"/>
    </row>
    <row r="532" ht="15.75" customHeight="1">
      <c r="F532" s="21"/>
    </row>
    <row r="533" ht="15.75" customHeight="1">
      <c r="F533" s="21"/>
    </row>
    <row r="534" ht="15.75" customHeight="1">
      <c r="F534" s="21"/>
    </row>
    <row r="535" ht="15.75" customHeight="1">
      <c r="F535" s="21"/>
    </row>
    <row r="536" ht="15.75" customHeight="1">
      <c r="F536" s="21"/>
    </row>
    <row r="537" ht="15.75" customHeight="1">
      <c r="F537" s="21"/>
    </row>
    <row r="538" ht="15.75" customHeight="1">
      <c r="F538" s="21"/>
    </row>
    <row r="539" ht="15.75" customHeight="1">
      <c r="F539" s="21"/>
    </row>
    <row r="540" ht="15.75" customHeight="1">
      <c r="F540" s="21"/>
    </row>
    <row r="541" ht="15.75" customHeight="1">
      <c r="F541" s="21"/>
    </row>
    <row r="542" ht="15.75" customHeight="1">
      <c r="F542" s="21"/>
    </row>
    <row r="543" ht="15.75" customHeight="1">
      <c r="F543" s="21"/>
    </row>
    <row r="544" ht="15.75" customHeight="1">
      <c r="F544" s="21"/>
    </row>
    <row r="545" ht="15.75" customHeight="1">
      <c r="F545" s="21"/>
    </row>
    <row r="546" ht="15.75" customHeight="1">
      <c r="F546" s="21"/>
    </row>
    <row r="547" ht="15.75" customHeight="1">
      <c r="F547" s="21"/>
    </row>
    <row r="548" ht="15.75" customHeight="1">
      <c r="F548" s="21"/>
    </row>
    <row r="549" ht="15.75" customHeight="1">
      <c r="F549" s="21"/>
    </row>
    <row r="550" ht="15.75" customHeight="1">
      <c r="F550" s="21"/>
    </row>
    <row r="551" ht="15.75" customHeight="1">
      <c r="F551" s="21"/>
    </row>
    <row r="552" ht="15.75" customHeight="1">
      <c r="F552" s="21"/>
    </row>
    <row r="553" ht="15.75" customHeight="1">
      <c r="F553" s="21"/>
    </row>
    <row r="554" ht="15.75" customHeight="1">
      <c r="F554" s="21"/>
    </row>
    <row r="555" ht="15.75" customHeight="1">
      <c r="F555" s="21"/>
    </row>
    <row r="556" ht="15.75" customHeight="1">
      <c r="F556" s="21"/>
    </row>
    <row r="557" ht="15.75" customHeight="1">
      <c r="F557" s="21"/>
    </row>
    <row r="558" ht="15.75" customHeight="1">
      <c r="F558" s="21"/>
    </row>
    <row r="559" ht="15.75" customHeight="1">
      <c r="F559" s="21"/>
    </row>
    <row r="560" ht="15.75" customHeight="1">
      <c r="F560" s="21"/>
    </row>
    <row r="561" ht="15.75" customHeight="1">
      <c r="F561" s="21"/>
    </row>
    <row r="562" ht="15.75" customHeight="1">
      <c r="F562" s="21"/>
    </row>
    <row r="563" ht="15.75" customHeight="1">
      <c r="F563" s="21"/>
    </row>
    <row r="564" ht="15.75" customHeight="1">
      <c r="F564" s="21"/>
    </row>
    <row r="565" ht="15.75" customHeight="1">
      <c r="F565" s="21"/>
    </row>
    <row r="566" ht="15.75" customHeight="1">
      <c r="F566" s="21"/>
    </row>
    <row r="567" ht="15.75" customHeight="1">
      <c r="F567" s="21"/>
    </row>
    <row r="568" ht="15.75" customHeight="1">
      <c r="F568" s="21"/>
    </row>
    <row r="569" ht="15.75" customHeight="1">
      <c r="F569" s="21"/>
    </row>
    <row r="570" ht="15.75" customHeight="1">
      <c r="F570" s="21"/>
    </row>
    <row r="571" ht="15.75" customHeight="1">
      <c r="F571" s="21"/>
    </row>
    <row r="572" ht="15.75" customHeight="1">
      <c r="F572" s="21"/>
    </row>
    <row r="573" ht="15.75" customHeight="1">
      <c r="F573" s="21"/>
    </row>
    <row r="574" ht="15.75" customHeight="1">
      <c r="F574" s="21"/>
    </row>
    <row r="575" ht="15.75" customHeight="1">
      <c r="F575" s="21"/>
    </row>
    <row r="576" ht="15.75" customHeight="1">
      <c r="F576" s="21"/>
    </row>
    <row r="577" ht="15.75" customHeight="1">
      <c r="F577" s="21"/>
    </row>
    <row r="578" ht="15.75" customHeight="1">
      <c r="F578" s="21"/>
    </row>
    <row r="579" ht="15.75" customHeight="1">
      <c r="F579" s="21"/>
    </row>
    <row r="580" ht="15.75" customHeight="1">
      <c r="F580" s="21"/>
    </row>
    <row r="581" ht="15.75" customHeight="1">
      <c r="F581" s="21"/>
    </row>
    <row r="582" ht="15.75" customHeight="1">
      <c r="F582" s="21"/>
    </row>
    <row r="583" ht="15.75" customHeight="1">
      <c r="F583" s="21"/>
    </row>
    <row r="584" ht="15.75" customHeight="1">
      <c r="F584" s="21"/>
    </row>
    <row r="585" ht="15.75" customHeight="1">
      <c r="F585" s="21"/>
    </row>
    <row r="586" ht="15.75" customHeight="1">
      <c r="F586" s="21"/>
    </row>
    <row r="587" ht="15.75" customHeight="1">
      <c r="F587" s="21"/>
    </row>
    <row r="588" ht="15.75" customHeight="1">
      <c r="F588" s="21"/>
    </row>
    <row r="589" ht="15.75" customHeight="1">
      <c r="F589" s="21"/>
    </row>
    <row r="590" ht="15.75" customHeight="1">
      <c r="F590" s="21"/>
    </row>
    <row r="591" ht="15.75" customHeight="1">
      <c r="F591" s="21"/>
    </row>
    <row r="592" ht="15.75" customHeight="1">
      <c r="F592" s="21"/>
    </row>
    <row r="593" ht="15.75" customHeight="1">
      <c r="F593" s="21"/>
    </row>
    <row r="594" ht="15.75" customHeight="1">
      <c r="F594" s="21"/>
    </row>
    <row r="595" ht="15.75" customHeight="1">
      <c r="F595" s="21"/>
    </row>
    <row r="596" ht="15.75" customHeight="1">
      <c r="F596" s="21"/>
    </row>
    <row r="597" ht="15.75" customHeight="1">
      <c r="F597" s="21"/>
    </row>
    <row r="598" ht="15.75" customHeight="1">
      <c r="F598" s="21"/>
    </row>
    <row r="599" ht="15.75" customHeight="1">
      <c r="F599" s="21"/>
    </row>
    <row r="600" ht="15.75" customHeight="1">
      <c r="F600" s="21"/>
    </row>
    <row r="601" ht="15.75" customHeight="1">
      <c r="F601" s="21"/>
    </row>
    <row r="602" ht="15.75" customHeight="1">
      <c r="F602" s="21"/>
    </row>
    <row r="603" ht="15.75" customHeight="1">
      <c r="F603" s="21"/>
    </row>
    <row r="604" ht="15.75" customHeight="1">
      <c r="F604" s="21"/>
    </row>
    <row r="605" ht="15.75" customHeight="1">
      <c r="F605" s="21"/>
    </row>
    <row r="606" ht="15.75" customHeight="1">
      <c r="F606" s="21"/>
    </row>
    <row r="607" ht="15.75" customHeight="1">
      <c r="F607" s="21"/>
    </row>
    <row r="608" ht="15.75" customHeight="1">
      <c r="F608" s="21"/>
    </row>
    <row r="609" ht="15.75" customHeight="1">
      <c r="F609" s="21"/>
    </row>
    <row r="610" ht="15.75" customHeight="1">
      <c r="F610" s="21"/>
    </row>
    <row r="611" ht="15.75" customHeight="1">
      <c r="F611" s="21"/>
    </row>
    <row r="612" ht="15.75" customHeight="1">
      <c r="F612" s="21"/>
    </row>
    <row r="613" ht="15.75" customHeight="1">
      <c r="F613" s="21"/>
    </row>
    <row r="614" ht="15.75" customHeight="1">
      <c r="F614" s="21"/>
    </row>
    <row r="615" ht="15.75" customHeight="1">
      <c r="F615" s="21"/>
    </row>
    <row r="616" ht="15.75" customHeight="1">
      <c r="F616" s="21"/>
    </row>
    <row r="617" ht="15.75" customHeight="1">
      <c r="F617" s="21"/>
    </row>
    <row r="618" ht="15.75" customHeight="1">
      <c r="F618" s="21"/>
    </row>
    <row r="619" ht="15.75" customHeight="1">
      <c r="F619" s="21"/>
    </row>
    <row r="620" ht="15.75" customHeight="1">
      <c r="F620" s="21"/>
    </row>
    <row r="621" ht="15.75" customHeight="1">
      <c r="F621" s="21"/>
    </row>
    <row r="622" ht="15.75" customHeight="1">
      <c r="F622" s="21"/>
    </row>
    <row r="623" ht="15.75" customHeight="1">
      <c r="F623" s="21"/>
    </row>
    <row r="624" ht="15.75" customHeight="1">
      <c r="F624" s="21"/>
    </row>
    <row r="625" ht="15.75" customHeight="1">
      <c r="F625" s="21"/>
    </row>
    <row r="626" ht="15.75" customHeight="1">
      <c r="F626" s="21"/>
    </row>
    <row r="627" ht="15.75" customHeight="1">
      <c r="F627" s="21"/>
    </row>
    <row r="628" ht="15.75" customHeight="1">
      <c r="F628" s="21"/>
    </row>
    <row r="629" ht="15.75" customHeight="1">
      <c r="F629" s="21"/>
    </row>
    <row r="630" ht="15.75" customHeight="1">
      <c r="F630" s="21"/>
    </row>
    <row r="631" ht="15.75" customHeight="1">
      <c r="F631" s="21"/>
    </row>
    <row r="632" ht="15.75" customHeight="1">
      <c r="F632" s="21"/>
    </row>
    <row r="633" ht="15.75" customHeight="1">
      <c r="F633" s="21"/>
    </row>
    <row r="634" ht="15.75" customHeight="1">
      <c r="F634" s="21"/>
    </row>
    <row r="635" ht="15.75" customHeight="1">
      <c r="F635" s="21"/>
    </row>
    <row r="636" ht="15.75" customHeight="1">
      <c r="F636" s="21"/>
    </row>
    <row r="637" ht="15.75" customHeight="1">
      <c r="F637" s="21"/>
    </row>
    <row r="638" ht="15.75" customHeight="1">
      <c r="F638" s="21"/>
    </row>
    <row r="639" ht="15.75" customHeight="1">
      <c r="F639" s="21"/>
    </row>
    <row r="640" ht="15.75" customHeight="1">
      <c r="F640" s="21"/>
    </row>
    <row r="641" ht="15.75" customHeight="1">
      <c r="F641" s="21"/>
    </row>
    <row r="642" ht="15.75" customHeight="1">
      <c r="F642" s="21"/>
    </row>
    <row r="643" ht="15.75" customHeight="1">
      <c r="F643" s="21"/>
    </row>
    <row r="644" ht="15.75" customHeight="1">
      <c r="F644" s="21"/>
    </row>
    <row r="645" ht="15.75" customHeight="1">
      <c r="F645" s="21"/>
    </row>
    <row r="646" ht="15.75" customHeight="1">
      <c r="F646" s="21"/>
    </row>
    <row r="647" ht="15.75" customHeight="1">
      <c r="F647" s="21"/>
    </row>
    <row r="648" ht="15.75" customHeight="1">
      <c r="F648" s="21"/>
    </row>
    <row r="649" ht="15.75" customHeight="1">
      <c r="F649" s="21"/>
    </row>
    <row r="650" ht="15.75" customHeight="1">
      <c r="F650" s="21"/>
    </row>
    <row r="651" ht="15.75" customHeight="1">
      <c r="F651" s="21"/>
    </row>
    <row r="652" ht="15.75" customHeight="1">
      <c r="F652" s="21"/>
    </row>
    <row r="653" ht="15.75" customHeight="1">
      <c r="F653" s="21"/>
    </row>
    <row r="654" ht="15.75" customHeight="1">
      <c r="F654" s="21"/>
    </row>
    <row r="655" ht="15.75" customHeight="1">
      <c r="F655" s="21"/>
    </row>
    <row r="656" ht="15.75" customHeight="1">
      <c r="F656" s="21"/>
    </row>
    <row r="657" ht="15.75" customHeight="1">
      <c r="F657" s="21"/>
    </row>
    <row r="658" ht="15.75" customHeight="1">
      <c r="F658" s="21"/>
    </row>
    <row r="659" ht="15.75" customHeight="1">
      <c r="F659" s="21"/>
    </row>
    <row r="660" ht="15.75" customHeight="1">
      <c r="F660" s="21"/>
    </row>
    <row r="661" ht="15.75" customHeight="1">
      <c r="F661" s="21"/>
    </row>
    <row r="662" ht="15.75" customHeight="1">
      <c r="F662" s="21"/>
    </row>
    <row r="663" ht="15.75" customHeight="1">
      <c r="F663" s="21"/>
    </row>
    <row r="664" ht="15.75" customHeight="1">
      <c r="F664" s="21"/>
    </row>
    <row r="665" ht="15.75" customHeight="1">
      <c r="F665" s="21"/>
    </row>
    <row r="666" ht="15.75" customHeight="1">
      <c r="F666" s="21"/>
    </row>
    <row r="667" ht="15.75" customHeight="1">
      <c r="F667" s="21"/>
    </row>
    <row r="668" ht="15.75" customHeight="1">
      <c r="F668" s="21"/>
    </row>
    <row r="669" ht="15.75" customHeight="1">
      <c r="F669" s="21"/>
    </row>
    <row r="670" ht="15.75" customHeight="1">
      <c r="F670" s="21"/>
    </row>
    <row r="671" ht="15.75" customHeight="1">
      <c r="F671" s="21"/>
    </row>
    <row r="672" ht="15.75" customHeight="1">
      <c r="F672" s="21"/>
    </row>
    <row r="673" ht="15.75" customHeight="1">
      <c r="F673" s="21"/>
    </row>
    <row r="674" ht="15.75" customHeight="1">
      <c r="F674" s="21"/>
    </row>
    <row r="675" ht="15.75" customHeight="1">
      <c r="F675" s="21"/>
    </row>
    <row r="676" ht="15.75" customHeight="1">
      <c r="F676" s="21"/>
    </row>
    <row r="677" ht="15.75" customHeight="1">
      <c r="F677" s="21"/>
    </row>
    <row r="678" ht="15.75" customHeight="1">
      <c r="F678" s="21"/>
    </row>
    <row r="679" ht="15.75" customHeight="1">
      <c r="F679" s="21"/>
    </row>
    <row r="680" ht="15.75" customHeight="1">
      <c r="F680" s="21"/>
    </row>
    <row r="681" ht="15.75" customHeight="1">
      <c r="F681" s="21"/>
    </row>
    <row r="682" ht="15.75" customHeight="1">
      <c r="F682" s="21"/>
    </row>
    <row r="683" ht="15.75" customHeight="1">
      <c r="F683" s="21"/>
    </row>
    <row r="684" ht="15.75" customHeight="1">
      <c r="F684" s="21"/>
    </row>
    <row r="685" ht="15.75" customHeight="1">
      <c r="F685" s="21"/>
    </row>
    <row r="686" ht="15.75" customHeight="1">
      <c r="F686" s="21"/>
    </row>
    <row r="687" ht="15.75" customHeight="1">
      <c r="F687" s="21"/>
    </row>
    <row r="688" ht="15.75" customHeight="1">
      <c r="F688" s="21"/>
    </row>
    <row r="689" ht="15.75" customHeight="1">
      <c r="F689" s="21"/>
    </row>
    <row r="690" ht="15.75" customHeight="1">
      <c r="F690" s="21"/>
    </row>
    <row r="691" ht="15.75" customHeight="1">
      <c r="F691" s="21"/>
    </row>
    <row r="692" ht="15.75" customHeight="1">
      <c r="F692" s="21"/>
    </row>
    <row r="693" ht="15.75" customHeight="1">
      <c r="F693" s="21"/>
    </row>
    <row r="694" ht="15.75" customHeight="1">
      <c r="F694" s="21"/>
    </row>
    <row r="695" ht="15.75" customHeight="1">
      <c r="F695" s="21"/>
    </row>
    <row r="696" ht="15.75" customHeight="1">
      <c r="F696" s="21"/>
    </row>
    <row r="697" ht="15.75" customHeight="1">
      <c r="F697" s="21"/>
    </row>
    <row r="698" ht="15.75" customHeight="1">
      <c r="F698" s="21"/>
    </row>
    <row r="699" ht="15.75" customHeight="1">
      <c r="F699" s="21"/>
    </row>
    <row r="700" ht="15.75" customHeight="1">
      <c r="F700" s="21"/>
    </row>
    <row r="701" ht="15.75" customHeight="1">
      <c r="F701" s="21"/>
    </row>
    <row r="702" ht="15.75" customHeight="1">
      <c r="F702" s="21"/>
    </row>
    <row r="703" ht="15.75" customHeight="1">
      <c r="F703" s="21"/>
    </row>
    <row r="704" ht="15.75" customHeight="1">
      <c r="F704" s="21"/>
    </row>
    <row r="705" ht="15.75" customHeight="1">
      <c r="F705" s="21"/>
    </row>
    <row r="706" ht="15.75" customHeight="1">
      <c r="F706" s="21"/>
    </row>
    <row r="707" ht="15.75" customHeight="1">
      <c r="F707" s="21"/>
    </row>
    <row r="708" ht="15.75" customHeight="1">
      <c r="F708" s="21"/>
    </row>
    <row r="709" ht="15.75" customHeight="1">
      <c r="F709" s="21"/>
    </row>
    <row r="710" ht="15.75" customHeight="1">
      <c r="F710" s="21"/>
    </row>
    <row r="711" ht="15.75" customHeight="1">
      <c r="F711" s="21"/>
    </row>
    <row r="712" ht="15.75" customHeight="1">
      <c r="F712" s="21"/>
    </row>
    <row r="713" ht="15.75" customHeight="1">
      <c r="F713" s="21"/>
    </row>
    <row r="714" ht="15.75" customHeight="1">
      <c r="F714" s="21"/>
    </row>
    <row r="715" ht="15.75" customHeight="1">
      <c r="F715" s="21"/>
    </row>
    <row r="716" ht="15.75" customHeight="1">
      <c r="F716" s="21"/>
    </row>
    <row r="717" ht="15.75" customHeight="1">
      <c r="F717" s="21"/>
    </row>
    <row r="718" ht="15.75" customHeight="1">
      <c r="F718" s="21"/>
    </row>
    <row r="719" ht="15.75" customHeight="1">
      <c r="F719" s="21"/>
    </row>
    <row r="720" ht="15.75" customHeight="1">
      <c r="F720" s="21"/>
    </row>
    <row r="721" ht="15.75" customHeight="1">
      <c r="F721" s="21"/>
    </row>
    <row r="722" ht="15.75" customHeight="1">
      <c r="F722" s="21"/>
    </row>
    <row r="723" ht="15.75" customHeight="1">
      <c r="F723" s="21"/>
    </row>
    <row r="724" ht="15.75" customHeight="1">
      <c r="F724" s="21"/>
    </row>
    <row r="725" ht="15.75" customHeight="1">
      <c r="F725" s="21"/>
    </row>
    <row r="726" ht="15.75" customHeight="1">
      <c r="F726" s="21"/>
    </row>
    <row r="727" ht="15.75" customHeight="1">
      <c r="F727" s="21"/>
    </row>
    <row r="728" ht="15.75" customHeight="1">
      <c r="F728" s="21"/>
    </row>
    <row r="729" ht="15.75" customHeight="1">
      <c r="F729" s="21"/>
    </row>
    <row r="730" ht="15.75" customHeight="1">
      <c r="F730" s="21"/>
    </row>
    <row r="731" ht="15.75" customHeight="1">
      <c r="F731" s="21"/>
    </row>
    <row r="732" ht="15.75" customHeight="1">
      <c r="F732" s="21"/>
    </row>
    <row r="733" ht="15.75" customHeight="1">
      <c r="F733" s="21"/>
    </row>
    <row r="734" ht="15.75" customHeight="1">
      <c r="F734" s="21"/>
    </row>
    <row r="735" ht="15.75" customHeight="1">
      <c r="F735" s="21"/>
    </row>
    <row r="736" ht="15.75" customHeight="1">
      <c r="F736" s="21"/>
    </row>
    <row r="737" ht="15.75" customHeight="1">
      <c r="F737" s="21"/>
    </row>
    <row r="738" ht="15.75" customHeight="1">
      <c r="F738" s="21"/>
    </row>
    <row r="739" ht="15.75" customHeight="1">
      <c r="F739" s="21"/>
    </row>
    <row r="740" ht="15.75" customHeight="1">
      <c r="F740" s="21"/>
    </row>
    <row r="741" ht="15.75" customHeight="1">
      <c r="F741" s="21"/>
    </row>
    <row r="742" ht="15.75" customHeight="1">
      <c r="F742" s="21"/>
    </row>
    <row r="743" ht="15.75" customHeight="1">
      <c r="F743" s="21"/>
    </row>
    <row r="744" ht="15.75" customHeight="1">
      <c r="F744" s="21"/>
    </row>
    <row r="745" ht="15.75" customHeight="1">
      <c r="F745" s="21"/>
    </row>
    <row r="746" ht="15.75" customHeight="1">
      <c r="F746" s="21"/>
    </row>
    <row r="747" ht="15.75" customHeight="1">
      <c r="F747" s="21"/>
    </row>
    <row r="748" ht="15.75" customHeight="1">
      <c r="F748" s="21"/>
    </row>
    <row r="749" ht="15.75" customHeight="1">
      <c r="F749" s="21"/>
    </row>
    <row r="750" ht="15.75" customHeight="1">
      <c r="F750" s="21"/>
    </row>
    <row r="751" ht="15.75" customHeight="1">
      <c r="F751" s="21"/>
    </row>
    <row r="752" ht="15.75" customHeight="1">
      <c r="F752" s="21"/>
    </row>
    <row r="753" ht="15.75" customHeight="1">
      <c r="F753" s="21"/>
    </row>
    <row r="754" ht="15.75" customHeight="1">
      <c r="F754" s="21"/>
    </row>
    <row r="755" ht="15.75" customHeight="1">
      <c r="F755" s="21"/>
    </row>
    <row r="756" ht="15.75" customHeight="1">
      <c r="F756" s="21"/>
    </row>
    <row r="757" ht="15.75" customHeight="1">
      <c r="F757" s="21"/>
    </row>
    <row r="758" ht="15.75" customHeight="1">
      <c r="F758" s="21"/>
    </row>
    <row r="759" ht="15.75" customHeight="1">
      <c r="F759" s="21"/>
    </row>
    <row r="760" ht="15.75" customHeight="1">
      <c r="F760" s="21"/>
    </row>
    <row r="761" ht="15.75" customHeight="1">
      <c r="F761" s="21"/>
    </row>
    <row r="762" ht="15.75" customHeight="1">
      <c r="F762" s="21"/>
    </row>
    <row r="763" ht="15.75" customHeight="1">
      <c r="F763" s="21"/>
    </row>
    <row r="764" ht="15.75" customHeight="1">
      <c r="F764" s="21"/>
    </row>
    <row r="765" ht="15.75" customHeight="1">
      <c r="F765" s="21"/>
    </row>
    <row r="766" ht="15.75" customHeight="1">
      <c r="F766" s="21"/>
    </row>
    <row r="767" ht="15.75" customHeight="1">
      <c r="F767" s="21"/>
    </row>
    <row r="768" ht="15.75" customHeight="1">
      <c r="F768" s="21"/>
    </row>
    <row r="769" ht="15.75" customHeight="1">
      <c r="F769" s="21"/>
    </row>
    <row r="770" ht="15.75" customHeight="1">
      <c r="F770" s="21"/>
    </row>
    <row r="771" ht="15.75" customHeight="1">
      <c r="F771" s="21"/>
    </row>
    <row r="772" ht="15.75" customHeight="1">
      <c r="F772" s="21"/>
    </row>
    <row r="773" ht="15.75" customHeight="1">
      <c r="F773" s="21"/>
    </row>
    <row r="774" ht="15.75" customHeight="1">
      <c r="F774" s="21"/>
    </row>
    <row r="775" ht="15.75" customHeight="1">
      <c r="F775" s="21"/>
    </row>
    <row r="776" ht="15.75" customHeight="1">
      <c r="F776" s="21"/>
    </row>
    <row r="777" ht="15.75" customHeight="1">
      <c r="F777" s="21"/>
    </row>
    <row r="778" ht="15.75" customHeight="1">
      <c r="F778" s="21"/>
    </row>
    <row r="779" ht="15.75" customHeight="1">
      <c r="F779" s="21"/>
    </row>
    <row r="780" ht="15.75" customHeight="1">
      <c r="F780" s="21"/>
    </row>
    <row r="781" ht="15.75" customHeight="1">
      <c r="F781" s="21"/>
    </row>
    <row r="782" ht="15.75" customHeight="1">
      <c r="F782" s="21"/>
    </row>
    <row r="783" ht="15.75" customHeight="1">
      <c r="F783" s="21"/>
    </row>
    <row r="784" ht="15.75" customHeight="1">
      <c r="F784" s="21"/>
    </row>
    <row r="785" ht="15.75" customHeight="1">
      <c r="F785" s="21"/>
    </row>
    <row r="786" ht="15.75" customHeight="1">
      <c r="F786" s="21"/>
    </row>
    <row r="787" ht="15.75" customHeight="1">
      <c r="F787" s="21"/>
    </row>
    <row r="788" ht="15.75" customHeight="1">
      <c r="F788" s="21"/>
    </row>
    <row r="789" ht="15.75" customHeight="1">
      <c r="F789" s="21"/>
    </row>
    <row r="790" ht="15.75" customHeight="1">
      <c r="F790" s="21"/>
    </row>
    <row r="791" ht="15.75" customHeight="1">
      <c r="F791" s="21"/>
    </row>
    <row r="792" ht="15.75" customHeight="1">
      <c r="F792" s="21"/>
    </row>
    <row r="793" ht="15.75" customHeight="1">
      <c r="F793" s="21"/>
    </row>
    <row r="794" ht="15.75" customHeight="1">
      <c r="F794" s="21"/>
    </row>
    <row r="795" ht="15.75" customHeight="1">
      <c r="F795" s="21"/>
    </row>
    <row r="796" ht="15.75" customHeight="1">
      <c r="F796" s="21"/>
    </row>
    <row r="797" ht="15.75" customHeight="1">
      <c r="F797" s="21"/>
    </row>
    <row r="798" ht="15.75" customHeight="1">
      <c r="F798" s="21"/>
    </row>
    <row r="799" ht="15.75" customHeight="1">
      <c r="F799" s="21"/>
    </row>
    <row r="800" ht="15.75" customHeight="1">
      <c r="F800" s="21"/>
    </row>
    <row r="801" ht="15.75" customHeight="1">
      <c r="F801" s="21"/>
    </row>
    <row r="802" ht="15.75" customHeight="1">
      <c r="F802" s="21"/>
    </row>
    <row r="803" ht="15.75" customHeight="1">
      <c r="F803" s="21"/>
    </row>
    <row r="804" ht="15.75" customHeight="1">
      <c r="F804" s="21"/>
    </row>
    <row r="805" ht="15.75" customHeight="1">
      <c r="F805" s="21"/>
    </row>
    <row r="806" ht="15.75" customHeight="1">
      <c r="F806" s="21"/>
    </row>
    <row r="807" ht="15.75" customHeight="1">
      <c r="F807" s="21"/>
    </row>
    <row r="808" ht="15.75" customHeight="1">
      <c r="F808" s="21"/>
    </row>
    <row r="809" ht="15.75" customHeight="1">
      <c r="F809" s="21"/>
    </row>
    <row r="810" ht="15.75" customHeight="1">
      <c r="F810" s="21"/>
    </row>
    <row r="811" ht="15.75" customHeight="1">
      <c r="F811" s="21"/>
    </row>
    <row r="812" ht="15.75" customHeight="1">
      <c r="F812" s="21"/>
    </row>
    <row r="813" ht="15.75" customHeight="1">
      <c r="F813" s="21"/>
    </row>
    <row r="814" ht="15.75" customHeight="1">
      <c r="F814" s="21"/>
    </row>
    <row r="815" ht="15.75" customHeight="1">
      <c r="F815" s="21"/>
    </row>
    <row r="816" ht="15.75" customHeight="1">
      <c r="F816" s="21"/>
    </row>
    <row r="817" ht="15.75" customHeight="1">
      <c r="F817" s="21"/>
    </row>
    <row r="818" ht="15.75" customHeight="1">
      <c r="F818" s="21"/>
    </row>
    <row r="819" ht="15.75" customHeight="1">
      <c r="F819" s="21"/>
    </row>
    <row r="820" ht="15.75" customHeight="1">
      <c r="F820" s="21"/>
    </row>
    <row r="821" ht="15.75" customHeight="1">
      <c r="F821" s="21"/>
    </row>
    <row r="822" ht="15.75" customHeight="1">
      <c r="F822" s="21"/>
    </row>
    <row r="823" ht="15.75" customHeight="1">
      <c r="F823" s="21"/>
    </row>
    <row r="824" ht="15.75" customHeight="1">
      <c r="F824" s="21"/>
    </row>
    <row r="825" ht="15.75" customHeight="1">
      <c r="F825" s="21"/>
    </row>
    <row r="826" ht="15.75" customHeight="1">
      <c r="F826" s="21"/>
    </row>
    <row r="827" ht="15.75" customHeight="1">
      <c r="F827" s="21"/>
    </row>
    <row r="828" ht="15.75" customHeight="1">
      <c r="F828" s="21"/>
    </row>
    <row r="829" ht="15.75" customHeight="1">
      <c r="F829" s="21"/>
    </row>
    <row r="830" ht="15.75" customHeight="1">
      <c r="F830" s="21"/>
    </row>
    <row r="831" ht="15.75" customHeight="1">
      <c r="F831" s="21"/>
    </row>
    <row r="832" ht="15.75" customHeight="1">
      <c r="F832" s="21"/>
    </row>
    <row r="833" ht="15.75" customHeight="1">
      <c r="F833" s="21"/>
    </row>
    <row r="834" ht="15.75" customHeight="1">
      <c r="F834" s="21"/>
    </row>
    <row r="835" ht="15.75" customHeight="1">
      <c r="F835" s="21"/>
    </row>
    <row r="836" ht="15.75" customHeight="1">
      <c r="F836" s="21"/>
    </row>
    <row r="837" ht="15.75" customHeight="1">
      <c r="F837" s="21"/>
    </row>
    <row r="838" ht="15.75" customHeight="1">
      <c r="F838" s="21"/>
    </row>
    <row r="839" ht="15.75" customHeight="1">
      <c r="F839" s="21"/>
    </row>
    <row r="840" ht="15.75" customHeight="1">
      <c r="F840" s="21"/>
    </row>
    <row r="841" ht="15.75" customHeight="1">
      <c r="F841" s="21"/>
    </row>
    <row r="842" ht="15.75" customHeight="1">
      <c r="F842" s="21"/>
    </row>
    <row r="843" ht="15.75" customHeight="1">
      <c r="F843" s="21"/>
    </row>
    <row r="844" ht="15.75" customHeight="1">
      <c r="F844" s="21"/>
    </row>
    <row r="845" ht="15.75" customHeight="1">
      <c r="F845" s="21"/>
    </row>
    <row r="846" ht="15.75" customHeight="1">
      <c r="F846" s="21"/>
    </row>
    <row r="847" ht="15.75" customHeight="1">
      <c r="F847" s="21"/>
    </row>
    <row r="848" ht="15.75" customHeight="1">
      <c r="F848" s="21"/>
    </row>
    <row r="849" ht="15.75" customHeight="1">
      <c r="F849" s="21"/>
    </row>
    <row r="850" ht="15.75" customHeight="1">
      <c r="F850" s="21"/>
    </row>
    <row r="851" ht="15.75" customHeight="1">
      <c r="F851" s="21"/>
    </row>
    <row r="852" ht="15.75" customHeight="1">
      <c r="F852" s="21"/>
    </row>
    <row r="853" ht="15.75" customHeight="1">
      <c r="F853" s="21"/>
    </row>
    <row r="854" ht="15.75" customHeight="1">
      <c r="F854" s="21"/>
    </row>
    <row r="855" ht="15.75" customHeight="1">
      <c r="F855" s="21"/>
    </row>
    <row r="856" ht="15.75" customHeight="1">
      <c r="F856" s="21"/>
    </row>
    <row r="857" ht="15.75" customHeight="1">
      <c r="F857" s="21"/>
    </row>
    <row r="858" ht="15.75" customHeight="1">
      <c r="F858" s="21"/>
    </row>
    <row r="859" ht="15.75" customHeight="1">
      <c r="F859" s="21"/>
    </row>
    <row r="860" ht="15.75" customHeight="1">
      <c r="F860" s="21"/>
    </row>
    <row r="861" ht="15.75" customHeight="1">
      <c r="F861" s="21"/>
    </row>
    <row r="862" ht="15.75" customHeight="1">
      <c r="F862" s="21"/>
    </row>
    <row r="863" ht="15.75" customHeight="1">
      <c r="F863" s="21"/>
    </row>
    <row r="864" ht="15.75" customHeight="1">
      <c r="F864" s="21"/>
    </row>
    <row r="865" ht="15.75" customHeight="1">
      <c r="F865" s="21"/>
    </row>
    <row r="866" ht="15.75" customHeight="1">
      <c r="F866" s="21"/>
    </row>
    <row r="867" ht="15.75" customHeight="1">
      <c r="F867" s="21"/>
    </row>
    <row r="868" ht="15.75" customHeight="1">
      <c r="F868" s="21"/>
    </row>
    <row r="869" ht="15.75" customHeight="1">
      <c r="F869" s="21"/>
    </row>
    <row r="870" ht="15.75" customHeight="1">
      <c r="F870" s="21"/>
    </row>
    <row r="871" ht="15.75" customHeight="1">
      <c r="F871" s="21"/>
    </row>
    <row r="872" ht="15.75" customHeight="1">
      <c r="F872" s="21"/>
    </row>
    <row r="873" ht="15.75" customHeight="1">
      <c r="F873" s="21"/>
    </row>
    <row r="874" ht="15.75" customHeight="1">
      <c r="F874" s="21"/>
    </row>
    <row r="875" ht="15.75" customHeight="1">
      <c r="F875" s="21"/>
    </row>
    <row r="876" ht="15.75" customHeight="1">
      <c r="F876" s="21"/>
    </row>
    <row r="877" ht="15.75" customHeight="1">
      <c r="F877" s="21"/>
    </row>
    <row r="878" ht="15.75" customHeight="1">
      <c r="F878" s="21"/>
    </row>
    <row r="879" ht="15.75" customHeight="1">
      <c r="F879" s="21"/>
    </row>
    <row r="880" ht="15.75" customHeight="1">
      <c r="F880" s="21"/>
    </row>
    <row r="881" ht="15.75" customHeight="1">
      <c r="F881" s="21"/>
    </row>
    <row r="882" ht="15.75" customHeight="1">
      <c r="F882" s="21"/>
    </row>
    <row r="883" ht="15.75" customHeight="1">
      <c r="F883" s="21"/>
    </row>
    <row r="884" ht="15.75" customHeight="1">
      <c r="F884" s="21"/>
    </row>
    <row r="885" ht="15.75" customHeight="1">
      <c r="F885" s="21"/>
    </row>
    <row r="886" ht="15.75" customHeight="1">
      <c r="F886" s="21"/>
    </row>
    <row r="887" ht="15.75" customHeight="1">
      <c r="F887" s="21"/>
    </row>
    <row r="888" ht="15.75" customHeight="1">
      <c r="F888" s="21"/>
    </row>
    <row r="889" ht="15.75" customHeight="1">
      <c r="F889" s="21"/>
    </row>
    <row r="890" ht="15.75" customHeight="1">
      <c r="F890" s="21"/>
    </row>
    <row r="891" ht="15.75" customHeight="1">
      <c r="F891" s="21"/>
    </row>
    <row r="892" ht="15.75" customHeight="1">
      <c r="F892" s="21"/>
    </row>
    <row r="893" ht="15.75" customHeight="1">
      <c r="F893" s="21"/>
    </row>
    <row r="894" ht="15.75" customHeight="1">
      <c r="F894" s="21"/>
    </row>
    <row r="895" ht="15.75" customHeight="1">
      <c r="F895" s="21"/>
    </row>
    <row r="896" ht="15.75" customHeight="1">
      <c r="F896" s="21"/>
    </row>
    <row r="897" ht="15.75" customHeight="1">
      <c r="F897" s="21"/>
    </row>
    <row r="898" ht="15.75" customHeight="1">
      <c r="F898" s="21"/>
    </row>
    <row r="899" ht="15.75" customHeight="1">
      <c r="F899" s="21"/>
    </row>
    <row r="900" ht="15.75" customHeight="1">
      <c r="F900" s="21"/>
    </row>
    <row r="901" ht="15.75" customHeight="1">
      <c r="F901" s="21"/>
    </row>
    <row r="902" ht="15.75" customHeight="1">
      <c r="F902" s="21"/>
    </row>
    <row r="903" ht="15.75" customHeight="1">
      <c r="F903" s="21"/>
    </row>
    <row r="904" ht="15.75" customHeight="1">
      <c r="F904" s="21"/>
    </row>
    <row r="905" ht="15.75" customHeight="1">
      <c r="F905" s="21"/>
    </row>
    <row r="906" ht="15.75" customHeight="1">
      <c r="F906" s="21"/>
    </row>
    <row r="907" ht="15.75" customHeight="1">
      <c r="F907" s="21"/>
    </row>
    <row r="908" ht="15.75" customHeight="1">
      <c r="F908" s="21"/>
    </row>
    <row r="909" ht="15.75" customHeight="1">
      <c r="F909" s="21"/>
    </row>
    <row r="910" ht="15.75" customHeight="1">
      <c r="F910" s="21"/>
    </row>
    <row r="911" ht="15.75" customHeight="1">
      <c r="F911" s="21"/>
    </row>
    <row r="912" ht="15.75" customHeight="1">
      <c r="F912" s="21"/>
    </row>
    <row r="913" ht="15.75" customHeight="1">
      <c r="F913" s="21"/>
    </row>
    <row r="914" ht="15.75" customHeight="1">
      <c r="F914" s="21"/>
    </row>
    <row r="915" ht="15.75" customHeight="1">
      <c r="F915" s="21"/>
    </row>
    <row r="916" ht="15.75" customHeight="1">
      <c r="F916" s="21"/>
    </row>
    <row r="917" ht="15.75" customHeight="1">
      <c r="F917" s="21"/>
    </row>
    <row r="918" ht="15.75" customHeight="1">
      <c r="F918" s="21"/>
    </row>
    <row r="919" ht="15.75" customHeight="1">
      <c r="F919" s="21"/>
    </row>
    <row r="920" ht="15.75" customHeight="1">
      <c r="F920" s="21"/>
    </row>
    <row r="921" ht="15.75" customHeight="1">
      <c r="F921" s="21"/>
    </row>
    <row r="922" ht="15.75" customHeight="1">
      <c r="F922" s="21"/>
    </row>
    <row r="923" ht="15.75" customHeight="1">
      <c r="F923" s="21"/>
    </row>
    <row r="924" ht="15.75" customHeight="1">
      <c r="F924" s="21"/>
    </row>
    <row r="925" ht="15.75" customHeight="1">
      <c r="F925" s="21"/>
    </row>
    <row r="926" ht="15.75" customHeight="1">
      <c r="F926" s="21"/>
    </row>
    <row r="927" ht="15.75" customHeight="1">
      <c r="F927" s="21"/>
    </row>
    <row r="928" ht="15.75" customHeight="1">
      <c r="F928" s="21"/>
    </row>
    <row r="929" ht="15.75" customHeight="1">
      <c r="F929" s="21"/>
    </row>
    <row r="930" ht="15.75" customHeight="1">
      <c r="F930" s="21"/>
    </row>
    <row r="931" ht="15.75" customHeight="1">
      <c r="F931" s="21"/>
    </row>
    <row r="932" ht="15.75" customHeight="1">
      <c r="F932" s="21"/>
    </row>
    <row r="933" ht="15.75" customHeight="1">
      <c r="F933" s="21"/>
    </row>
    <row r="934" ht="15.75" customHeight="1">
      <c r="F934" s="21"/>
    </row>
    <row r="935" ht="15.75" customHeight="1">
      <c r="F935" s="21"/>
    </row>
    <row r="936" ht="15.75" customHeight="1">
      <c r="F936" s="21"/>
    </row>
    <row r="937" ht="15.75" customHeight="1">
      <c r="F937" s="21"/>
    </row>
    <row r="938" ht="15.75" customHeight="1">
      <c r="F938" s="21"/>
    </row>
    <row r="939" ht="15.75" customHeight="1">
      <c r="F939" s="21"/>
    </row>
    <row r="940" ht="15.75" customHeight="1">
      <c r="F940" s="21"/>
    </row>
    <row r="941" ht="15.75" customHeight="1">
      <c r="F941" s="21"/>
    </row>
    <row r="942" ht="15.75" customHeight="1">
      <c r="F942" s="21"/>
    </row>
    <row r="943" ht="15.75" customHeight="1">
      <c r="F943" s="21"/>
    </row>
    <row r="944" ht="15.75" customHeight="1">
      <c r="F944" s="21"/>
    </row>
    <row r="945" ht="15.75" customHeight="1">
      <c r="F945" s="21"/>
    </row>
    <row r="946" ht="15.75" customHeight="1">
      <c r="F946" s="21"/>
    </row>
    <row r="947" ht="15.75" customHeight="1">
      <c r="F947" s="21"/>
    </row>
    <row r="948" ht="15.75" customHeight="1">
      <c r="F948" s="21"/>
    </row>
    <row r="949" ht="15.75" customHeight="1">
      <c r="F949" s="21"/>
    </row>
    <row r="950" ht="15.75" customHeight="1">
      <c r="F950" s="21"/>
    </row>
    <row r="951" ht="15.75" customHeight="1">
      <c r="F951" s="21"/>
    </row>
    <row r="952" ht="15.75" customHeight="1">
      <c r="F952" s="21"/>
    </row>
    <row r="953" ht="15.75" customHeight="1">
      <c r="F953" s="21"/>
    </row>
    <row r="954" ht="15.75" customHeight="1">
      <c r="F954" s="21"/>
    </row>
    <row r="955" ht="15.75" customHeight="1">
      <c r="F955" s="21"/>
    </row>
    <row r="956" ht="15.75" customHeight="1">
      <c r="F956" s="21"/>
    </row>
    <row r="957" ht="15.75" customHeight="1">
      <c r="F957" s="21"/>
    </row>
    <row r="958" ht="15.75" customHeight="1">
      <c r="F958" s="21"/>
    </row>
    <row r="959" ht="15.75" customHeight="1">
      <c r="F959" s="21"/>
    </row>
    <row r="960" ht="15.75" customHeight="1">
      <c r="F960" s="21"/>
    </row>
    <row r="961" ht="15.75" customHeight="1">
      <c r="F961" s="21"/>
    </row>
    <row r="962" ht="15.75" customHeight="1">
      <c r="F962" s="21"/>
    </row>
    <row r="963" ht="15.75" customHeight="1">
      <c r="F963" s="21"/>
    </row>
    <row r="964" ht="15.75" customHeight="1">
      <c r="F964" s="21"/>
    </row>
    <row r="965" ht="15.75" customHeight="1">
      <c r="F965" s="21"/>
    </row>
    <row r="966" ht="15.75" customHeight="1">
      <c r="F966" s="21"/>
    </row>
    <row r="967" ht="15.75" customHeight="1">
      <c r="F967" s="21"/>
    </row>
    <row r="968" ht="15.75" customHeight="1">
      <c r="F968" s="21"/>
    </row>
    <row r="969" ht="15.75" customHeight="1">
      <c r="F969" s="21"/>
    </row>
    <row r="970" ht="15.75" customHeight="1">
      <c r="F970" s="21"/>
    </row>
    <row r="971" ht="15.75" customHeight="1">
      <c r="F971" s="21"/>
    </row>
    <row r="972" ht="15.75" customHeight="1">
      <c r="F972" s="21"/>
    </row>
    <row r="973" ht="15.75" customHeight="1">
      <c r="F973" s="21"/>
    </row>
    <row r="974" ht="15.75" customHeight="1">
      <c r="F974" s="21"/>
    </row>
    <row r="975" ht="15.75" customHeight="1">
      <c r="F975" s="21"/>
    </row>
    <row r="976" ht="15.75" customHeight="1">
      <c r="F976" s="21"/>
    </row>
    <row r="977" ht="15.75" customHeight="1">
      <c r="F977" s="21"/>
    </row>
    <row r="978" ht="15.75" customHeight="1">
      <c r="F978" s="21"/>
    </row>
    <row r="979" ht="15.75" customHeight="1">
      <c r="F979" s="21"/>
    </row>
    <row r="980" ht="15.75" customHeight="1">
      <c r="F980" s="21"/>
    </row>
    <row r="981" ht="15.75" customHeight="1">
      <c r="F981" s="21"/>
    </row>
    <row r="982" ht="15.75" customHeight="1">
      <c r="F982" s="21"/>
    </row>
    <row r="983" ht="15.75" customHeight="1">
      <c r="F983" s="21"/>
    </row>
    <row r="984" ht="15.75" customHeight="1">
      <c r="F984" s="21"/>
    </row>
    <row r="985" ht="15.75" customHeight="1">
      <c r="F985" s="21"/>
    </row>
    <row r="986" ht="15.75" customHeight="1">
      <c r="F986" s="21"/>
    </row>
    <row r="987" ht="15.75" customHeight="1">
      <c r="F987" s="21"/>
    </row>
    <row r="988" ht="15.75" customHeight="1">
      <c r="F988" s="21"/>
    </row>
    <row r="989" ht="15.75" customHeight="1">
      <c r="F989" s="21"/>
    </row>
    <row r="990" ht="15.75" customHeight="1">
      <c r="F990" s="21"/>
    </row>
    <row r="991" ht="15.75" customHeight="1">
      <c r="F991" s="21"/>
    </row>
    <row r="992" ht="15.75" customHeight="1">
      <c r="F992" s="21"/>
    </row>
    <row r="993" ht="15.75" customHeight="1">
      <c r="F993" s="21"/>
    </row>
    <row r="994" ht="15.75" customHeight="1">
      <c r="F994" s="21"/>
    </row>
    <row r="995" ht="15.75" customHeight="1">
      <c r="F995" s="21"/>
    </row>
    <row r="996" ht="15.75" customHeight="1">
      <c r="F996" s="21"/>
    </row>
    <row r="997" ht="15.75" customHeight="1">
      <c r="F997" s="21"/>
    </row>
    <row r="998" ht="15.75" customHeight="1">
      <c r="F998" s="21"/>
    </row>
    <row r="999" ht="15.75" customHeight="1">
      <c r="F999" s="21"/>
    </row>
    <row r="1000" ht="15.75" customHeight="1">
      <c r="F1000" s="21"/>
    </row>
  </sheetData>
  <mergeCells count="8">
    <mergeCell ref="C3:I3"/>
    <mergeCell ref="C4:I4"/>
    <mergeCell ref="A7:B7"/>
    <mergeCell ref="C7:D7"/>
    <mergeCell ref="E7:G7"/>
    <mergeCell ref="A8:B8"/>
    <mergeCell ref="C8:D8"/>
    <mergeCell ref="E8:G8"/>
  </mergeCells>
  <conditionalFormatting sqref="A11:I1000">
    <cfRule type="expression" dxfId="0" priority="1">
      <formula>AND($H11&lt;&gt;"",$H11&lt;=TODAY(),$F11&lt;&gt;"Won",$F11&lt;&gt;"Lost")</formula>
    </cfRule>
  </conditionalFormatting>
  <conditionalFormatting sqref="A11:I1000">
    <cfRule type="expression" dxfId="1" priority="2">
      <formula>$F11="Won"</formula>
    </cfRule>
  </conditionalFormatting>
  <conditionalFormatting sqref="A11:I1000">
    <cfRule type="expression" dxfId="2" priority="3">
      <formula>$F11="Lost"</formula>
    </cfRule>
  </conditionalFormatting>
  <dataValidations>
    <dataValidation type="list" allowBlank="1" sqref="F11:F1000">
      <formula1>"New Lead,Contacted,Appointment Set,Proposal Sent,Won,Lost"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2026-08-30T06:03:17Z</dcterms:created>
  <dc:creator>openpyxl</dc:creator>
</cp:coreProperties>
</file>